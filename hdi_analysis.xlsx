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krejci/Desktop/statistika/DU2_SEM26SK08/"/>
    </mc:Choice>
  </mc:AlternateContent>
  <xr:revisionPtr revIDLastSave="0" documentId="13_ncr:1_{C255D806-3D83-B441-9C2E-2E391577250F}" xr6:coauthVersionLast="47" xr6:coauthVersionMax="47" xr10:uidLastSave="{00000000-0000-0000-0000-000000000000}"/>
  <bookViews>
    <workbookView xWindow="3300" yWindow="600" windowWidth="34200" windowHeight="21000" activeTab="8" xr2:uid="{643FB19A-7CA7-4C04-8396-DDC78FD14362}"/>
  </bookViews>
  <sheets>
    <sheet name="DataSheet" sheetId="4" r:id="rId1"/>
    <sheet name="Sheet1" sheetId="1" r:id="rId2"/>
    <sheet name="Sheet2" sheetId="5" r:id="rId3"/>
    <sheet name="Sheet3" sheetId="7" r:id="rId4"/>
    <sheet name="Sheet4" sheetId="8" r:id="rId5"/>
    <sheet name="Sheet5" sheetId="9" r:id="rId6"/>
    <sheet name="Sheet6" sheetId="10" r:id="rId7"/>
    <sheet name="Sheet7" sheetId="11" r:id="rId8"/>
    <sheet name="Sheet8" sheetId="12" r:id="rId9"/>
  </sheets>
  <definedNames>
    <definedName name="_xlnm._FilterDatabase" localSheetId="1" hidden="1">Sheet1!$A$1:$AB$176</definedName>
    <definedName name="_xlchart.v1.0" hidden="1">Sheet2!$P$1</definedName>
    <definedName name="_xlchart.v1.1" hidden="1">Sheet2!$P$2:$P$151</definedName>
    <definedName name="_xlchart.v1.10" hidden="1">Sheet2!$U$1</definedName>
    <definedName name="_xlchart.v1.11" hidden="1">Sheet2!$U$2:$U$151</definedName>
    <definedName name="_xlchart.v1.12" hidden="1">Sheet2!$V$1</definedName>
    <definedName name="_xlchart.v1.13" hidden="1">Sheet2!$V$2:$V$151</definedName>
    <definedName name="_xlchart.v1.14" hidden="1">Sheet2!$W$1</definedName>
    <definedName name="_xlchart.v1.15" hidden="1">Sheet2!$W$2:$W$151</definedName>
    <definedName name="_xlchart.v1.16" hidden="1">Sheet2!$X$1</definedName>
    <definedName name="_xlchart.v1.17" hidden="1">Sheet2!$X$2:$X$151</definedName>
    <definedName name="_xlchart.v1.18" hidden="1">Sheet2!$Y$1</definedName>
    <definedName name="_xlchart.v1.19" hidden="1">Sheet2!$Y$2:$Y$151</definedName>
    <definedName name="_xlchart.v1.2" hidden="1">Sheet2!$Q$1</definedName>
    <definedName name="_xlchart.v1.3" hidden="1">Sheet2!$Q$2:$Q$151</definedName>
    <definedName name="_xlchart.v1.4" hidden="1">Sheet2!$R$1</definedName>
    <definedName name="_xlchart.v1.5" hidden="1">Sheet2!$R$2:$R$151</definedName>
    <definedName name="_xlchart.v1.6" hidden="1">Sheet2!$S$1</definedName>
    <definedName name="_xlchart.v1.7" hidden="1">Sheet2!$S$2:$S$151</definedName>
    <definedName name="_xlchart.v1.8" hidden="1">Sheet2!$T$1</definedName>
    <definedName name="_xlchart.v1.9" hidden="1">Sheet2!$T$2:$T$151</definedName>
    <definedName name="ExternalData_1" localSheetId="0" hidden="1">DataSheet!$D$1:$E$250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2" i="12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2" i="5"/>
  <c r="D5" i="11" a="1"/>
  <c r="D5" i="11" s="1"/>
  <c r="E5" i="11" a="1"/>
  <c r="E5" i="11" s="1"/>
  <c r="F5" i="11" a="1"/>
  <c r="F5" i="11" s="1"/>
  <c r="G5" i="11" a="1"/>
  <c r="G5" i="11" s="1"/>
  <c r="H5" i="11" a="1"/>
  <c r="H5" i="11" s="1"/>
  <c r="I5" i="11" a="1"/>
  <c r="I5" i="11" s="1"/>
  <c r="J5" i="11" a="1"/>
  <c r="J5" i="11" s="1"/>
  <c r="K5" i="11" a="1"/>
  <c r="K5" i="11" s="1"/>
  <c r="L5" i="11" a="1"/>
  <c r="L5" i="11" s="1"/>
  <c r="C5" i="11" a="1"/>
  <c r="C5" i="11" s="1"/>
  <c r="L10" i="11" a="1"/>
  <c r="L10" i="11" s="1"/>
  <c r="D10" i="11" a="1"/>
  <c r="D10" i="11" s="1"/>
  <c r="E10" i="11" a="1"/>
  <c r="E10" i="11" s="1"/>
  <c r="F10" i="11" a="1"/>
  <c r="F10" i="11" s="1"/>
  <c r="G10" i="11" a="1"/>
  <c r="G10" i="11" s="1"/>
  <c r="H10" i="11" a="1"/>
  <c r="H10" i="11" s="1"/>
  <c r="I10" i="11" a="1"/>
  <c r="I10" i="11" s="1"/>
  <c r="J10" i="11" a="1"/>
  <c r="J10" i="11"/>
  <c r="K10" i="11" a="1"/>
  <c r="K10" i="11" s="1"/>
  <c r="C10" i="11" a="1"/>
  <c r="C10" i="11" s="1"/>
  <c r="D8" i="11"/>
  <c r="E8" i="11"/>
  <c r="F8" i="11"/>
  <c r="G8" i="11"/>
  <c r="H8" i="11"/>
  <c r="I8" i="11"/>
  <c r="J8" i="11"/>
  <c r="K8" i="11"/>
  <c r="L8" i="11"/>
  <c r="C8" i="11"/>
  <c r="D9" i="11"/>
  <c r="E9" i="11"/>
  <c r="F9" i="11"/>
  <c r="G9" i="11"/>
  <c r="H9" i="11"/>
  <c r="I9" i="11"/>
  <c r="J9" i="11"/>
  <c r="K9" i="11"/>
  <c r="L9" i="11"/>
  <c r="C9" i="11"/>
  <c r="L4" i="11"/>
  <c r="D4" i="11"/>
  <c r="E4" i="11"/>
  <c r="F4" i="11"/>
  <c r="G4" i="11"/>
  <c r="H4" i="11"/>
  <c r="I4" i="11"/>
  <c r="J4" i="11"/>
  <c r="K4" i="11"/>
  <c r="C4" i="11"/>
  <c r="D3" i="11"/>
  <c r="E3" i="11"/>
  <c r="F3" i="11"/>
  <c r="G3" i="11"/>
  <c r="H3" i="11"/>
  <c r="I3" i="11"/>
  <c r="J3" i="11"/>
  <c r="K3" i="11"/>
  <c r="L3" i="11"/>
  <c r="C3" i="11"/>
  <c r="K10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4" i="10"/>
  <c r="J5" i="9"/>
  <c r="I5" i="9"/>
  <c r="J4" i="9"/>
  <c r="I4" i="9"/>
  <c r="C3" i="8"/>
  <c r="D6" i="8"/>
  <c r="E6" i="8"/>
  <c r="E7" i="8" s="1"/>
  <c r="F6" i="8"/>
  <c r="F7" i="8" s="1"/>
  <c r="G6" i="8"/>
  <c r="G7" i="8" s="1"/>
  <c r="H6" i="8"/>
  <c r="I6" i="8"/>
  <c r="I7" i="8" s="1"/>
  <c r="J6" i="8"/>
  <c r="J7" i="8" s="1"/>
  <c r="K6" i="8"/>
  <c r="K7" i="8" s="1"/>
  <c r="L6" i="8"/>
  <c r="C6" i="8"/>
  <c r="D3" i="8"/>
  <c r="E3" i="8"/>
  <c r="F3" i="8"/>
  <c r="G3" i="8"/>
  <c r="H3" i="8"/>
  <c r="I3" i="8"/>
  <c r="J3" i="8"/>
  <c r="K3" i="8"/>
  <c r="L3" i="8"/>
  <c r="N6" i="7"/>
  <c r="O6" i="7"/>
  <c r="P6" i="7"/>
  <c r="Q6" i="7"/>
  <c r="R6" i="7"/>
  <c r="S6" i="7"/>
  <c r="T6" i="7"/>
  <c r="U6" i="7"/>
  <c r="V6" i="7"/>
  <c r="M6" i="7"/>
  <c r="N5" i="7"/>
  <c r="O5" i="7"/>
  <c r="P5" i="7"/>
  <c r="Q5" i="7"/>
  <c r="R5" i="7"/>
  <c r="S5" i="7"/>
  <c r="T5" i="7"/>
  <c r="U5" i="7"/>
  <c r="V5" i="7"/>
  <c r="M5" i="7"/>
  <c r="N4" i="7"/>
  <c r="O4" i="7"/>
  <c r="P4" i="7"/>
  <c r="Q4" i="7"/>
  <c r="R4" i="7"/>
  <c r="S4" i="7"/>
  <c r="T4" i="7"/>
  <c r="U4" i="7"/>
  <c r="V4" i="7"/>
  <c r="M4" i="7"/>
  <c r="AG20" i="1"/>
  <c r="AN51" i="1"/>
  <c r="AT47" i="1"/>
  <c r="AS47" i="1"/>
  <c r="AR47" i="1"/>
  <c r="AQ47" i="1"/>
  <c r="AP47" i="1"/>
  <c r="AO47" i="1"/>
  <c r="AN47" i="1"/>
  <c r="AT46" i="1"/>
  <c r="AS46" i="1"/>
  <c r="AR46" i="1"/>
  <c r="AQ46" i="1"/>
  <c r="AP46" i="1"/>
  <c r="AO46" i="1"/>
  <c r="AN46" i="1"/>
  <c r="AT45" i="1"/>
  <c r="AS45" i="1"/>
  <c r="AR45" i="1"/>
  <c r="AQ45" i="1"/>
  <c r="AP45" i="1"/>
  <c r="AO45" i="1"/>
  <c r="AN45" i="1"/>
  <c r="AT44" i="1"/>
  <c r="AS44" i="1"/>
  <c r="AR44" i="1"/>
  <c r="AQ44" i="1"/>
  <c r="AP44" i="1"/>
  <c r="AO44" i="1"/>
  <c r="AN44" i="1"/>
  <c r="AT43" i="1"/>
  <c r="AS43" i="1"/>
  <c r="AR43" i="1"/>
  <c r="AQ43" i="1"/>
  <c r="AP43" i="1"/>
  <c r="AO43" i="1"/>
  <c r="AN43" i="1"/>
  <c r="AT42" i="1"/>
  <c r="AS42" i="1"/>
  <c r="AR42" i="1"/>
  <c r="AQ42" i="1"/>
  <c r="AP42" i="1"/>
  <c r="AO42" i="1"/>
  <c r="AN42" i="1"/>
  <c r="AT41" i="1"/>
  <c r="AS41" i="1"/>
  <c r="AR41" i="1"/>
  <c r="AQ41" i="1"/>
  <c r="AP41" i="1"/>
  <c r="AO41" i="1"/>
  <c r="AN41" i="1"/>
  <c r="AT40" i="1"/>
  <c r="AS40" i="1"/>
  <c r="AR40" i="1"/>
  <c r="AQ40" i="1"/>
  <c r="AP40" i="1"/>
  <c r="AO40" i="1"/>
  <c r="AN40" i="1"/>
  <c r="AT39" i="1"/>
  <c r="AS39" i="1"/>
  <c r="AR39" i="1"/>
  <c r="AQ39" i="1"/>
  <c r="AP39" i="1"/>
  <c r="AO39" i="1"/>
  <c r="AN39" i="1"/>
  <c r="AT38" i="1"/>
  <c r="AS38" i="1"/>
  <c r="AR38" i="1"/>
  <c r="AQ38" i="1"/>
  <c r="AP38" i="1"/>
  <c r="AO38" i="1"/>
  <c r="AN38" i="1"/>
  <c r="AT37" i="1"/>
  <c r="AS37" i="1"/>
  <c r="AR37" i="1"/>
  <c r="AQ37" i="1"/>
  <c r="AP37" i="1"/>
  <c r="AO37" i="1"/>
  <c r="AN37" i="1"/>
  <c r="AT36" i="1"/>
  <c r="AS36" i="1"/>
  <c r="AR36" i="1"/>
  <c r="AQ36" i="1"/>
  <c r="AP36" i="1"/>
  <c r="AO36" i="1"/>
  <c r="AN36" i="1"/>
  <c r="AT35" i="1"/>
  <c r="AS35" i="1"/>
  <c r="AR35" i="1"/>
  <c r="AQ35" i="1"/>
  <c r="AP35" i="1"/>
  <c r="AO35" i="1"/>
  <c r="AN35" i="1"/>
  <c r="AT34" i="1"/>
  <c r="AS34" i="1"/>
  <c r="AR34" i="1"/>
  <c r="AQ34" i="1"/>
  <c r="AP34" i="1"/>
  <c r="AO34" i="1"/>
  <c r="AN34" i="1"/>
  <c r="AT33" i="1"/>
  <c r="AS33" i="1"/>
  <c r="AR33" i="1"/>
  <c r="AQ33" i="1"/>
  <c r="AP33" i="1"/>
  <c r="AO33" i="1"/>
  <c r="AN33" i="1"/>
  <c r="AT32" i="1"/>
  <c r="AS32" i="1"/>
  <c r="AR32" i="1"/>
  <c r="AQ32" i="1"/>
  <c r="AP32" i="1"/>
  <c r="AO32" i="1"/>
  <c r="AN32" i="1"/>
  <c r="AT31" i="1"/>
  <c r="AS31" i="1"/>
  <c r="AR31" i="1"/>
  <c r="AQ31" i="1"/>
  <c r="AP31" i="1"/>
  <c r="AO31" i="1"/>
  <c r="AN31" i="1"/>
  <c r="AT30" i="1"/>
  <c r="AS30" i="1"/>
  <c r="AR30" i="1"/>
  <c r="AQ30" i="1"/>
  <c r="AP30" i="1"/>
  <c r="AO30" i="1"/>
  <c r="AN30" i="1"/>
  <c r="AT29" i="1"/>
  <c r="AS29" i="1"/>
  <c r="AR29" i="1"/>
  <c r="AQ29" i="1"/>
  <c r="AP29" i="1"/>
  <c r="AO29" i="1"/>
  <c r="AN29" i="1"/>
  <c r="AT28" i="1"/>
  <c r="AS28" i="1"/>
  <c r="AR28" i="1"/>
  <c r="AQ28" i="1"/>
  <c r="AP28" i="1"/>
  <c r="AO28" i="1"/>
  <c r="AN28" i="1"/>
  <c r="AT27" i="1"/>
  <c r="AS27" i="1"/>
  <c r="AR27" i="1"/>
  <c r="AQ27" i="1"/>
  <c r="AP27" i="1"/>
  <c r="AO27" i="1"/>
  <c r="AN27" i="1"/>
  <c r="AT26" i="1"/>
  <c r="AS26" i="1"/>
  <c r="AR26" i="1"/>
  <c r="AQ26" i="1"/>
  <c r="AP26" i="1"/>
  <c r="AO26" i="1"/>
  <c r="AN26" i="1"/>
  <c r="AT25" i="1"/>
  <c r="AS25" i="1"/>
  <c r="AR25" i="1"/>
  <c r="AQ25" i="1"/>
  <c r="AP25" i="1"/>
  <c r="AO25" i="1"/>
  <c r="AN25" i="1"/>
  <c r="AT24" i="1"/>
  <c r="AS24" i="1"/>
  <c r="AR24" i="1"/>
  <c r="AQ24" i="1"/>
  <c r="AP24" i="1"/>
  <c r="AO24" i="1"/>
  <c r="AN24" i="1"/>
  <c r="AT23" i="1"/>
  <c r="AS23" i="1"/>
  <c r="AR23" i="1"/>
  <c r="AQ23" i="1"/>
  <c r="AP23" i="1"/>
  <c r="AO23" i="1"/>
  <c r="AN23" i="1"/>
  <c r="AT22" i="1"/>
  <c r="AS22" i="1"/>
  <c r="AR22" i="1"/>
  <c r="AQ22" i="1"/>
  <c r="AP22" i="1"/>
  <c r="AO22" i="1"/>
  <c r="AN22" i="1"/>
  <c r="AT21" i="1"/>
  <c r="AS21" i="1"/>
  <c r="AR21" i="1"/>
  <c r="AQ21" i="1"/>
  <c r="AP21" i="1"/>
  <c r="AO21" i="1"/>
  <c r="AN21" i="1"/>
  <c r="AT20" i="1"/>
  <c r="AS20" i="1"/>
  <c r="AR20" i="1"/>
  <c r="AQ20" i="1"/>
  <c r="AP20" i="1"/>
  <c r="AO20" i="1"/>
  <c r="AN20" i="1"/>
  <c r="AT19" i="1"/>
  <c r="AS19" i="1"/>
  <c r="AR19" i="1"/>
  <c r="AQ19" i="1"/>
  <c r="AP19" i="1"/>
  <c r="AO19" i="1"/>
  <c r="AN19" i="1"/>
  <c r="AT18" i="1"/>
  <c r="AS18" i="1"/>
  <c r="AR18" i="1"/>
  <c r="AQ18" i="1"/>
  <c r="AP18" i="1"/>
  <c r="AO18" i="1"/>
  <c r="AN18" i="1"/>
  <c r="AT17" i="1"/>
  <c r="AS17" i="1"/>
  <c r="AR17" i="1"/>
  <c r="AQ17" i="1"/>
  <c r="AP17" i="1"/>
  <c r="AO17" i="1"/>
  <c r="AN17" i="1"/>
  <c r="AT16" i="1"/>
  <c r="AS16" i="1"/>
  <c r="AR16" i="1"/>
  <c r="AQ16" i="1"/>
  <c r="AU47" i="1" s="1"/>
  <c r="AP16" i="1"/>
  <c r="AO16" i="1"/>
  <c r="AN16" i="1"/>
  <c r="AV15" i="1"/>
  <c r="AU15" i="1"/>
  <c r="AV16" i="1" s="1"/>
  <c r="AT15" i="1"/>
  <c r="AS15" i="1"/>
  <c r="AR15" i="1"/>
  <c r="AQ15" i="1"/>
  <c r="AU16" i="1" s="1"/>
  <c r="AV17" i="1" s="1"/>
  <c r="AP15" i="1"/>
  <c r="AO15" i="1"/>
  <c r="AN15" i="1"/>
  <c r="AR11" i="1"/>
  <c r="AP11" i="1"/>
  <c r="AO11" i="1"/>
  <c r="AN11" i="1"/>
  <c r="AR10" i="1"/>
  <c r="AQ10" i="1"/>
  <c r="AR9" i="1"/>
  <c r="AQ9" i="1"/>
  <c r="AR8" i="1"/>
  <c r="AQ8" i="1"/>
  <c r="AR7" i="1"/>
  <c r="AQ7" i="1"/>
  <c r="AR6" i="1"/>
  <c r="AQ6" i="1"/>
  <c r="AR5" i="1"/>
  <c r="AQ5" i="1"/>
  <c r="AR4" i="1"/>
  <c r="AQ4" i="1"/>
  <c r="AQ11" i="1" s="1"/>
  <c r="AG13" i="1"/>
  <c r="AG14" i="1"/>
  <c r="AG15" i="1"/>
  <c r="AG16" i="1"/>
  <c r="AG17" i="1"/>
  <c r="AF11" i="1" a="1"/>
  <c r="AF11" i="1" s="1"/>
  <c r="AG11" i="1" s="1"/>
  <c r="K8" i="10"/>
  <c r="J8" i="9"/>
  <c r="D7" i="8"/>
  <c r="H7" i="8"/>
  <c r="L7" i="8"/>
  <c r="I8" i="9"/>
  <c r="C7" i="8"/>
  <c r="AD2" i="1" a="1"/>
  <c r="AD2" i="1" s="1"/>
  <c r="H5" i="8" l="1"/>
  <c r="L5" i="8"/>
  <c r="G5" i="8"/>
  <c r="F5" i="8"/>
  <c r="D5" i="8"/>
  <c r="J4" i="8"/>
  <c r="I6" i="9"/>
  <c r="I7" i="9" s="1"/>
  <c r="C5" i="8"/>
  <c r="E5" i="8"/>
  <c r="K4" i="8"/>
  <c r="I5" i="8"/>
  <c r="I4" i="8"/>
  <c r="K5" i="8"/>
  <c r="H4" i="8"/>
  <c r="J5" i="8"/>
  <c r="G4" i="8"/>
  <c r="F4" i="8"/>
  <c r="C4" i="8"/>
  <c r="E4" i="8"/>
  <c r="L4" i="8"/>
  <c r="D4" i="8"/>
  <c r="AG12" i="1"/>
  <c r="AG18" i="1" s="1"/>
  <c r="AU21" i="1"/>
  <c r="AV22" i="1" s="1"/>
  <c r="AU31" i="1"/>
  <c r="AV32" i="1" s="1"/>
  <c r="AW15" i="1"/>
  <c r="AW19" i="1"/>
  <c r="AU25" i="1"/>
  <c r="AV26" i="1" s="1"/>
  <c r="AW27" i="1" s="1"/>
  <c r="AU35" i="1"/>
  <c r="AV36" i="1" s="1"/>
  <c r="AU37" i="1"/>
  <c r="AV38" i="1" s="1"/>
  <c r="AU41" i="1"/>
  <c r="AV42" i="1" s="1"/>
  <c r="AW17" i="1"/>
  <c r="AU17" i="1"/>
  <c r="AV18" i="1" s="1"/>
  <c r="AW46" i="1" s="1"/>
  <c r="AU18" i="1"/>
  <c r="AV19" i="1" s="1"/>
  <c r="AW32" i="1" s="1"/>
  <c r="AU26" i="1"/>
  <c r="AV27" i="1" s="1"/>
  <c r="AU28" i="1"/>
  <c r="AV29" i="1" s="1"/>
  <c r="AU32" i="1"/>
  <c r="AV33" i="1" s="1"/>
  <c r="AU34" i="1"/>
  <c r="AV35" i="1" s="1"/>
  <c r="AU36" i="1"/>
  <c r="AV37" i="1" s="1"/>
  <c r="AU38" i="1"/>
  <c r="AV39" i="1" s="1"/>
  <c r="AU40" i="1"/>
  <c r="AV41" i="1" s="1"/>
  <c r="AU42" i="1"/>
  <c r="AV43" i="1" s="1"/>
  <c r="AU44" i="1"/>
  <c r="AV45" i="1" s="1"/>
  <c r="AU46" i="1"/>
  <c r="AV47" i="1" s="1"/>
  <c r="AU19" i="1"/>
  <c r="AV20" i="1" s="1"/>
  <c r="AW34" i="1" s="1"/>
  <c r="AU23" i="1"/>
  <c r="AV24" i="1" s="1"/>
  <c r="AW25" i="1" s="1"/>
  <c r="AU27" i="1"/>
  <c r="AV28" i="1" s="1"/>
  <c r="AW45" i="1" s="1"/>
  <c r="AU29" i="1"/>
  <c r="AV30" i="1" s="1"/>
  <c r="AW44" i="1" s="1"/>
  <c r="AU33" i="1"/>
  <c r="AV34" i="1" s="1"/>
  <c r="AU45" i="1"/>
  <c r="AV46" i="1" s="1"/>
  <c r="AU20" i="1"/>
  <c r="AV21" i="1" s="1"/>
  <c r="AU22" i="1"/>
  <c r="AV23" i="1" s="1"/>
  <c r="AU24" i="1"/>
  <c r="AV25" i="1" s="1"/>
  <c r="AU30" i="1"/>
  <c r="AV31" i="1" s="1"/>
  <c r="AU39" i="1"/>
  <c r="AV40" i="1" s="1"/>
  <c r="AU43" i="1"/>
  <c r="AV44" i="1" s="1"/>
  <c r="AW16" i="1"/>
  <c r="AW18" i="1"/>
  <c r="AW28" i="1"/>
  <c r="AW30" i="1"/>
  <c r="J6" i="9"/>
  <c r="J7" i="9" s="1"/>
  <c r="K4" i="10"/>
  <c r="K5" i="10"/>
  <c r="AW31" i="1" l="1"/>
  <c r="AW26" i="1"/>
  <c r="AW29" i="1"/>
  <c r="AW24" i="1"/>
  <c r="AW23" i="1"/>
  <c r="AW38" i="1"/>
  <c r="AW39" i="1"/>
  <c r="AW21" i="1"/>
  <c r="AX40" i="1" s="1"/>
  <c r="AY40" i="1" s="1"/>
  <c r="AX20" i="1"/>
  <c r="AY20" i="1" s="1"/>
  <c r="AX18" i="1"/>
  <c r="AY18" i="1" s="1"/>
  <c r="AX16" i="1"/>
  <c r="AY16" i="1" s="1"/>
  <c r="AX19" i="1"/>
  <c r="AY19" i="1" s="1"/>
  <c r="AX17" i="1"/>
  <c r="AY17" i="1" s="1"/>
  <c r="AX15" i="1"/>
  <c r="AY15" i="1" s="1"/>
  <c r="AW42" i="1"/>
  <c r="AW43" i="1"/>
  <c r="AW40" i="1"/>
  <c r="AW41" i="1"/>
  <c r="AW22" i="1"/>
  <c r="AW36" i="1"/>
  <c r="AW37" i="1"/>
  <c r="AW47" i="1"/>
  <c r="AW35" i="1"/>
  <c r="AW20" i="1"/>
  <c r="AX46" i="1" s="1"/>
  <c r="AY46" i="1" s="1"/>
  <c r="AW33" i="1"/>
  <c r="K6" i="10"/>
  <c r="K7" i="10" s="1"/>
  <c r="AF2" i="1" a="1"/>
  <c r="AF2" i="1" l="1"/>
  <c r="AG2" i="1" s="1"/>
  <c r="AG8" i="1"/>
  <c r="AG3" i="1"/>
  <c r="AG4" i="1"/>
  <c r="AG5" i="1"/>
  <c r="AG7" i="1"/>
  <c r="AG6" i="1"/>
  <c r="AX33" i="1"/>
  <c r="AY33" i="1" s="1"/>
  <c r="AX35" i="1"/>
  <c r="AY35" i="1" s="1"/>
  <c r="AX37" i="1"/>
  <c r="AY37" i="1" s="1"/>
  <c r="AX36" i="1"/>
  <c r="AY36" i="1" s="1"/>
  <c r="AX22" i="1"/>
  <c r="AY22" i="1" s="1"/>
  <c r="AX41" i="1"/>
  <c r="AY41" i="1" s="1"/>
  <c r="AX23" i="1"/>
  <c r="AY23" i="1" s="1"/>
  <c r="AX38" i="1"/>
  <c r="AY38" i="1" s="1"/>
  <c r="AX27" i="1"/>
  <c r="AY27" i="1" s="1"/>
  <c r="AX43" i="1"/>
  <c r="AY43" i="1" s="1"/>
  <c r="AX26" i="1"/>
  <c r="AY26" i="1" s="1"/>
  <c r="AX42" i="1"/>
  <c r="AY42" i="1" s="1"/>
  <c r="AX29" i="1"/>
  <c r="AY29" i="1" s="1"/>
  <c r="AX45" i="1"/>
  <c r="AY45" i="1" s="1"/>
  <c r="AX28" i="1"/>
  <c r="AY28" i="1" s="1"/>
  <c r="AX44" i="1"/>
  <c r="AY44" i="1" s="1"/>
  <c r="AX32" i="1"/>
  <c r="AY32" i="1" s="1"/>
  <c r="AX34" i="1"/>
  <c r="AY34" i="1" s="1"/>
  <c r="AX21" i="1"/>
  <c r="AY21" i="1" s="1"/>
  <c r="AX39" i="1"/>
  <c r="AY39" i="1" s="1"/>
  <c r="AX25" i="1"/>
  <c r="AY25" i="1" s="1"/>
  <c r="AX24" i="1"/>
  <c r="AY24" i="1" s="1"/>
  <c r="AX31" i="1"/>
  <c r="AY31" i="1" s="1"/>
  <c r="AX47" i="1"/>
  <c r="AY47" i="1" s="1"/>
  <c r="AX30" i="1"/>
  <c r="AY30" i="1" s="1"/>
  <c r="AH8" i="1" l="1"/>
  <c r="AG9" i="1"/>
  <c r="AI6" i="1" s="1"/>
  <c r="AN50" i="1"/>
  <c r="AN52" i="1" s="1"/>
  <c r="AI8" i="1" l="1"/>
  <c r="AH2" i="1"/>
  <c r="AH3" i="1"/>
  <c r="AI2" i="1"/>
  <c r="AI3" i="1"/>
  <c r="AI4" i="1"/>
  <c r="AI5" i="1"/>
  <c r="AH4" i="1"/>
  <c r="AH5" i="1"/>
  <c r="AH7" i="1"/>
  <c r="AH6" i="1"/>
  <c r="AI7" i="1"/>
  <c r="AI9" i="1" l="1"/>
  <c r="AH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A46B1-09CB-4D43-8A5B-605844D31E99}" keepAlive="1" name="Query - countries" description="Connection to the 'countries' query in the workbook." type="5" refreshedVersion="8" background="1" saveData="1">
    <dbPr connection="Provider=Microsoft.Mashup.OleDb.1;Data Source=$Workbook$;Location=countries;Extended Properties=&quot;&quot;" command="SELECT * FROM [countri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<sst xmlns="http://schemas.openxmlformats.org/spreadsheetml/2006/main" count="2886" uniqueCount="607">
  <si>
    <t>iso3</t>
  </si>
  <si>
    <t>country</t>
  </si>
  <si>
    <t>hdi_2000</t>
  </si>
  <si>
    <t>hdi_2001</t>
  </si>
  <si>
    <t>hdi_2002</t>
  </si>
  <si>
    <t>hdi_2003</t>
  </si>
  <si>
    <t>hdi_2004</t>
  </si>
  <si>
    <t>hdi_2005</t>
  </si>
  <si>
    <t>hdi_2006</t>
  </si>
  <si>
    <t>hdi_2007</t>
  </si>
  <si>
    <t>hdi_2008</t>
  </si>
  <si>
    <t>hdi_2009</t>
  </si>
  <si>
    <t>hdi_2010</t>
  </si>
  <si>
    <t>hdi_2011</t>
  </si>
  <si>
    <t>hdi_2012</t>
  </si>
  <si>
    <t>hdi_2013</t>
  </si>
  <si>
    <t>hdi_2014</t>
  </si>
  <si>
    <t>hdi_2015</t>
  </si>
  <si>
    <t>hdi_2016</t>
  </si>
  <si>
    <t>hdi_2017</t>
  </si>
  <si>
    <t>hdi_2018</t>
  </si>
  <si>
    <t>hdi_2019</t>
  </si>
  <si>
    <t>hdi_2020</t>
  </si>
  <si>
    <t>hdi_2021</t>
  </si>
  <si>
    <t>hdi_2022</t>
  </si>
  <si>
    <t>ALB</t>
  </si>
  <si>
    <t>Albania</t>
  </si>
  <si>
    <t>DZA</t>
  </si>
  <si>
    <t>Algeria</t>
  </si>
  <si>
    <t>ARM</t>
  </si>
  <si>
    <t>Armenia</t>
  </si>
  <si>
    <t>AZE</t>
  </si>
  <si>
    <t>Azerbaijan</t>
  </si>
  <si>
    <t>BLZ</t>
  </si>
  <si>
    <t>Belize</t>
  </si>
  <si>
    <t>BIH</t>
  </si>
  <si>
    <t>Bosnia and Herzegovina</t>
  </si>
  <si>
    <t>BWA</t>
  </si>
  <si>
    <t>Botswana</t>
  </si>
  <si>
    <t>BRA</t>
  </si>
  <si>
    <t>Brazil</t>
  </si>
  <si>
    <t>BGR</t>
  </si>
  <si>
    <t>Bulgaria</t>
  </si>
  <si>
    <t>COL</t>
  </si>
  <si>
    <t>Colombia</t>
  </si>
  <si>
    <t>CUB</t>
  </si>
  <si>
    <t>Cuba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</si>
  <si>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</si>
  <si>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</si>
  <si>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</si>
  <si>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</si>
  <si>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</si>
  <si>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</si>
  <si>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</si>
  <si>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</si>
  <si>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FJI</t>
  </si>
  <si>
    <t>Fiji</t>
  </si>
  <si>
    <t>GRD</t>
  </si>
  <si>
    <t>Grenada</t>
  </si>
  <si>
    <t>GUY</t>
  </si>
  <si>
    <t>Guyana</t>
  </si>
  <si>
    <t>CHN</t>
  </si>
  <si>
    <t>China</t>
  </si>
  <si>
    <t>IDN</t>
  </si>
  <si>
    <t>Indonesia</t>
  </si>
  <si>
    <t>IRN</t>
  </si>
  <si>
    <t>Iran (Islamic Republic of)</t>
  </si>
  <si>
    <t>JAM</t>
  </si>
  <si>
    <t>Jamaica</t>
  </si>
  <si>
    <t>JOR</t>
  </si>
  <si>
    <t>Jordan</t>
  </si>
  <si>
    <t>KGZ</t>
  </si>
  <si>
    <t>Kyrgyzstan</t>
  </si>
  <si>
    <t>LBY</t>
  </si>
  <si>
    <t>Libya</t>
  </si>
  <si>
    <t>MDV</t>
  </si>
  <si>
    <t>Maldives</t>
  </si>
  <si>
    <t>MUS</t>
  </si>
  <si>
    <t>Mauritius</t>
  </si>
  <si>
    <t>MEX</t>
  </si>
  <si>
    <t>Mexico</t>
  </si>
  <si>
    <t>MDA</t>
  </si>
  <si>
    <t>Moldova (Republic of)</t>
  </si>
  <si>
    <t>MNG</t>
  </si>
  <si>
    <t>Mongolia</t>
  </si>
  <si>
    <t>MKD</t>
  </si>
  <si>
    <t>North Macedonia</t>
  </si>
  <si>
    <t>PLW</t>
  </si>
  <si>
    <t>Palau</t>
  </si>
  <si>
    <t>PRY</t>
  </si>
  <si>
    <t>Paraguay</t>
  </si>
  <si>
    <t>PER</t>
  </si>
  <si>
    <t>Peru</t>
  </si>
  <si>
    <t>PHL</t>
  </si>
  <si>
    <t>Philippines</t>
  </si>
  <si>
    <t>LCA</t>
  </si>
  <si>
    <t>Saint Lucia</t>
  </si>
  <si>
    <t>VCT</t>
  </si>
  <si>
    <t>Saint Vincent and the Grenadines</t>
  </si>
  <si>
    <t>WSM</t>
  </si>
  <si>
    <t>Samoa</t>
  </si>
  <si>
    <t>ZAF</t>
  </si>
  <si>
    <t>South Africa</t>
  </si>
  <si>
    <t>LKA</t>
  </si>
  <si>
    <t>Sri Lanka</t>
  </si>
  <si>
    <t>TON</t>
  </si>
  <si>
    <t>Tonga</t>
  </si>
  <si>
    <t>TUN</t>
  </si>
  <si>
    <t>Tunisia</t>
  </si>
  <si>
    <t>UKR</t>
  </si>
  <si>
    <t>Ukraine</t>
  </si>
  <si>
    <t>UZB</t>
  </si>
  <si>
    <t>Uzbekistan</t>
  </si>
  <si>
    <t>VNM</t>
  </si>
  <si>
    <t>Viet Nam</t>
  </si>
  <si>
    <t>AFG</t>
  </si>
  <si>
    <t>Afghanistan</t>
  </si>
  <si>
    <t>BEN</t>
  </si>
  <si>
    <t>Benin</t>
  </si>
  <si>
    <t>BFA</t>
  </si>
  <si>
    <t>Burkina Faso</t>
  </si>
  <si>
    <t>BDI</t>
  </si>
  <si>
    <t>Burundi</t>
  </si>
  <si>
    <t>CAF</t>
  </si>
  <si>
    <t>Central African Republic</t>
  </si>
  <si>
    <t>COD</t>
  </si>
  <si>
    <t>Congo (Democratic Republic of the)</t>
  </si>
  <si>
    <t>CIV</t>
  </si>
  <si>
    <t>Côte d'Ivoire</t>
  </si>
  <si>
    <t>DJI</t>
  </si>
  <si>
    <t>Djibouti</t>
  </si>
  <si>
    <t>ETH</t>
  </si>
  <si>
    <t>Ethiopia</t>
  </si>
  <si>
    <t>GMB</t>
  </si>
  <si>
    <t>Gambia</t>
  </si>
  <si>
    <t>GIN</t>
  </si>
  <si>
    <t>Guinea</t>
  </si>
  <si>
    <t>TCD</t>
  </si>
  <si>
    <t>Chad</t>
  </si>
  <si>
    <t>LSO</t>
  </si>
  <si>
    <t>Lesotho</t>
  </si>
  <si>
    <t>LBR</t>
  </si>
  <si>
    <t>Liberia</t>
  </si>
  <si>
    <t>MDG</t>
  </si>
  <si>
    <t>Madagascar</t>
  </si>
  <si>
    <t>MWI</t>
  </si>
  <si>
    <t>Malawi</t>
  </si>
  <si>
    <t>MLI</t>
  </si>
  <si>
    <t>Mali</t>
  </si>
  <si>
    <t>MRT</t>
  </si>
  <si>
    <t>Mauritania</t>
  </si>
  <si>
    <t>MOZ</t>
  </si>
  <si>
    <t>Mozambique</t>
  </si>
  <si>
    <t>NER</t>
  </si>
  <si>
    <t>Niger</t>
  </si>
  <si>
    <t>PAK</t>
  </si>
  <si>
    <t>Pakistan</t>
  </si>
  <si>
    <t>RWA</t>
  </si>
  <si>
    <t>Rwanda</t>
  </si>
  <si>
    <t>SEN</t>
  </si>
  <si>
    <t>Senegal</t>
  </si>
  <si>
    <t>SLE</t>
  </si>
  <si>
    <t>Sierra Leone</t>
  </si>
  <si>
    <t>SDN</t>
  </si>
  <si>
    <t>Sudan</t>
  </si>
  <si>
    <t>TZA</t>
  </si>
  <si>
    <t>Tanzania (United Republic of)</t>
  </si>
  <si>
    <t>TGO</t>
  </si>
  <si>
    <t>Togo</t>
  </si>
  <si>
    <t>YEM</t>
  </si>
  <si>
    <t>Yemen</t>
  </si>
  <si>
    <t>BGD</t>
  </si>
  <si>
    <t>Bangladesh</t>
  </si>
  <si>
    <t>BOL</t>
  </si>
  <si>
    <t>Bolivia (Plurinational State of)</t>
  </si>
  <si>
    <t>CPV</t>
  </si>
  <si>
    <t>Cabo Verde</t>
  </si>
  <si>
    <t>KHM</t>
  </si>
  <si>
    <t>Cambodia</t>
  </si>
  <si>
    <t>CMR</t>
  </si>
  <si>
    <t>Cameroon</t>
  </si>
  <si>
    <t>COM</t>
  </si>
  <si>
    <t>Comoros</t>
  </si>
  <si>
    <t>COG</t>
  </si>
  <si>
    <t>Congo</t>
  </si>
  <si>
    <t>SLV</t>
  </si>
  <si>
    <t>El Salvador</t>
  </si>
  <si>
    <t>GNQ</t>
  </si>
  <si>
    <t>Equatorial Guinea</t>
  </si>
  <si>
    <t>SWZ</t>
  </si>
  <si>
    <t>Eswatini (Kingdom of)</t>
  </si>
  <si>
    <t>GAB</t>
  </si>
  <si>
    <t>Gabon</t>
  </si>
  <si>
    <t>GHA</t>
  </si>
  <si>
    <t>Ghana</t>
  </si>
  <si>
    <t>GTM</t>
  </si>
  <si>
    <t>Guatemala</t>
  </si>
  <si>
    <t>HTI</t>
  </si>
  <si>
    <t>Haiti</t>
  </si>
  <si>
    <t>HND</t>
  </si>
  <si>
    <t>Honduras</t>
  </si>
  <si>
    <t>IND</t>
  </si>
  <si>
    <t>India</t>
  </si>
  <si>
    <t>IRQ</t>
  </si>
  <si>
    <t>Iraq</t>
  </si>
  <si>
    <t>KEN</t>
  </si>
  <si>
    <t>Kenya</t>
  </si>
  <si>
    <t>KIR</t>
  </si>
  <si>
    <t>Kiribati</t>
  </si>
  <si>
    <t>LAO</t>
  </si>
  <si>
    <t>Lao People's Democratic Republic</t>
  </si>
  <si>
    <t>FSM</t>
  </si>
  <si>
    <t>Micronesia (Federated States of)</t>
  </si>
  <si>
    <t>MAR</t>
  </si>
  <si>
    <t>Morocco</t>
  </si>
  <si>
    <t>MMR</t>
  </si>
  <si>
    <t>Myanmar</t>
  </si>
  <si>
    <t>NAM</t>
  </si>
  <si>
    <t>Namibia</t>
  </si>
  <si>
    <t>NPL</t>
  </si>
  <si>
    <t>Nepal</t>
  </si>
  <si>
    <t>NIC</t>
  </si>
  <si>
    <t>Nicaragua</t>
  </si>
  <si>
    <t>PNG</t>
  </si>
  <si>
    <t>Papua New Guinea</t>
  </si>
  <si>
    <t>STP</t>
  </si>
  <si>
    <t>Sao Tome and Principe</t>
  </si>
  <si>
    <t>SLB</t>
  </si>
  <si>
    <t>Solomon Islands</t>
  </si>
  <si>
    <t>SYR</t>
  </si>
  <si>
    <t>Syrian Arab Republic</t>
  </si>
  <si>
    <t>TJK</t>
  </si>
  <si>
    <t>Tajikistan</t>
  </si>
  <si>
    <t>TLS</t>
  </si>
  <si>
    <t>Timor-Leste</t>
  </si>
  <si>
    <t>TUV</t>
  </si>
  <si>
    <t>Tuvalu</t>
  </si>
  <si>
    <t>UGA</t>
  </si>
  <si>
    <t>Uganda</t>
  </si>
  <si>
    <t>VEN</t>
  </si>
  <si>
    <t>Venezuela (Bolivarian Republic of)</t>
  </si>
  <si>
    <t>ZMB</t>
  </si>
  <si>
    <t>Zambia</t>
  </si>
  <si>
    <t>ZWE</t>
  </si>
  <si>
    <t>Zimbabwe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</si>
  <si>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</si>
  <si>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</si>
  <si>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</si>
  <si>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</si>
  <si>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</si>
  <si>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</si>
  <si>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</si>
  <si>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</si>
  <si>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</si>
  <si>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</si>
  <si>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BRB</t>
  </si>
  <si>
    <t>Barbados</t>
  </si>
  <si>
    <t>BLR</t>
  </si>
  <si>
    <t>Belarus</t>
  </si>
  <si>
    <t>BEL</t>
  </si>
  <si>
    <t>Belgium</t>
  </si>
  <si>
    <t>BRN</t>
  </si>
  <si>
    <t>Brunei Darussalam</t>
  </si>
  <si>
    <t>CAN</t>
  </si>
  <si>
    <t>Canada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</si>
  <si>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</si>
  <si>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</si>
  <si>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</si>
  <si>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</si>
  <si>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</si>
  <si>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</si>
  <si>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</si>
  <si>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</si>
  <si>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</si>
  <si>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</si>
  <si>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</si>
  <si>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</si>
  <si>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</si>
  <si>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</si>
  <si>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</si>
  <si>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</si>
  <si>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GEO</t>
  </si>
  <si>
    <t>Georgia</t>
  </si>
  <si>
    <t>DEU</t>
  </si>
  <si>
    <t>Germany</t>
  </si>
  <si>
    <t>GRC</t>
  </si>
  <si>
    <t>Greece</t>
  </si>
  <si>
    <t>HKG</t>
  </si>
  <si>
    <t>Hong Kong, China (SAR)</t>
  </si>
  <si>
    <t>HUN</t>
  </si>
  <si>
    <t>Hungary</t>
  </si>
  <si>
    <t>CHL</t>
  </si>
  <si>
    <t>Chile</t>
  </si>
  <si>
    <t>ISL</t>
  </si>
  <si>
    <t>Iceland</t>
  </si>
  <si>
    <t>IRL</t>
  </si>
  <si>
    <t>Ireland</t>
  </si>
  <si>
    <t>ISR</t>
  </si>
  <si>
    <t>Israel</t>
  </si>
  <si>
    <t>ITA</t>
  </si>
  <si>
    <t>Italy</t>
  </si>
  <si>
    <t>JPN</t>
  </si>
  <si>
    <t>Japan</t>
  </si>
  <si>
    <t>KAZ</t>
  </si>
  <si>
    <t>Kazakhstan</t>
  </si>
  <si>
    <t>KOR</t>
  </si>
  <si>
    <t>Korea (Republic of)</t>
  </si>
  <si>
    <t>KWT</t>
  </si>
  <si>
    <t>Kuwait</t>
  </si>
  <si>
    <t>LVA</t>
  </si>
  <si>
    <t>Latvia</t>
  </si>
  <si>
    <t>LIE</t>
  </si>
  <si>
    <t>Liechtenstein</t>
  </si>
  <si>
    <t>LTU</t>
  </si>
  <si>
    <t>Lithuania</t>
  </si>
  <si>
    <t>LUX</t>
  </si>
  <si>
    <t>Luxembourg</t>
  </si>
  <si>
    <t>MYS</t>
  </si>
  <si>
    <t>Malaysia</t>
  </si>
  <si>
    <t>MLT</t>
  </si>
  <si>
    <t>Malta</t>
  </si>
  <si>
    <t>NLD</t>
  </si>
  <si>
    <t>Netherlands</t>
  </si>
  <si>
    <t>NZL</t>
  </si>
  <si>
    <t>New Zealand</t>
  </si>
  <si>
    <t>NOR</t>
  </si>
  <si>
    <t>Norway</t>
  </si>
  <si>
    <t>OMN</t>
  </si>
  <si>
    <t>Oman</t>
  </si>
  <si>
    <t>PAN</t>
  </si>
  <si>
    <t>Panama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</si>
  <si>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</si>
  <si>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</si>
  <si>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</si>
  <si>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</si>
  <si>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</si>
  <si>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</si>
  <si>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</si>
  <si>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</si>
  <si>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</si>
  <si>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</si>
  <si>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SMR</t>
  </si>
  <si>
    <t>San Marino</t>
  </si>
  <si>
    <t>SAU</t>
  </si>
  <si>
    <t>Saudi Arabia</t>
  </si>
  <si>
    <t>SRB</t>
  </si>
  <si>
    <t>Serbia</t>
  </si>
  <si>
    <t>SYC</t>
  </si>
  <si>
    <t>Seychelles</t>
  </si>
  <si>
    <t>SGP</t>
  </si>
  <si>
    <t>Singapore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</si>
  <si>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</si>
  <si>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</si>
  <si>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</si>
  <si>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</si>
  <si>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</si>
  <si>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</si>
  <si>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</si>
  <si>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</si>
  <si>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CHE</t>
  </si>
  <si>
    <t>Switzerland</t>
  </si>
  <si>
    <t>THA</t>
  </si>
  <si>
    <t>Thailand</t>
  </si>
  <si>
    <t>TTO</t>
  </si>
  <si>
    <t>Trinidad and Tobago</t>
  </si>
  <si>
    <t>TUR</t>
  </si>
  <si>
    <t>Türkiye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</si>
  <si>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</si>
  <si>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</si>
  <si>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</si>
  <si>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</si>
  <si>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</si>
  <si>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</si>
  <si>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</si>
  <si>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</si>
  <si>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continents</t>
  </si>
  <si>
    <t>Asia</t>
  </si>
  <si>
    <t/>
  </si>
  <si>
    <t>ALA</t>
  </si>
  <si>
    <t>Europe</t>
  </si>
  <si>
    <t>Africa</t>
  </si>
  <si>
    <t>ASM</t>
  </si>
  <si>
    <t>Oceania</t>
  </si>
  <si>
    <t>Andorra</t>
  </si>
  <si>
    <t>AND</t>
  </si>
  <si>
    <t>Angola</t>
  </si>
  <si>
    <t>AGO</t>
  </si>
  <si>
    <t>AIA</t>
  </si>
  <si>
    <t>Americas</t>
  </si>
  <si>
    <t>ATA</t>
  </si>
  <si>
    <t>Antigua and Barbuda</t>
  </si>
  <si>
    <t>ATG</t>
  </si>
  <si>
    <t>Aruba</t>
  </si>
  <si>
    <t>ABW</t>
  </si>
  <si>
    <t>BMU</t>
  </si>
  <si>
    <t>Bhutan</t>
  </si>
  <si>
    <t>BTN</t>
  </si>
  <si>
    <t>BES</t>
  </si>
  <si>
    <t>BVT</t>
  </si>
  <si>
    <t>IOT</t>
  </si>
  <si>
    <t>CYM</t>
  </si>
  <si>
    <t>CXR</t>
  </si>
  <si>
    <t>CCK</t>
  </si>
  <si>
    <t>COK</t>
  </si>
  <si>
    <t>CUW</t>
  </si>
  <si>
    <t>Eritrea</t>
  </si>
  <si>
    <t>ERI</t>
  </si>
  <si>
    <t>Eswatini</t>
  </si>
  <si>
    <t>FLK</t>
  </si>
  <si>
    <t>FRO</t>
  </si>
  <si>
    <t>GUF</t>
  </si>
  <si>
    <t>PYF</t>
  </si>
  <si>
    <t>ATF</t>
  </si>
  <si>
    <t>GIB</t>
  </si>
  <si>
    <t>GRL</t>
  </si>
  <si>
    <t>GLP</t>
  </si>
  <si>
    <t>GUM</t>
  </si>
  <si>
    <t>Micronesia</t>
  </si>
  <si>
    <t>GGY</t>
  </si>
  <si>
    <t>Guinea-Bissau</t>
  </si>
  <si>
    <t>GNB</t>
  </si>
  <si>
    <t>HMD</t>
  </si>
  <si>
    <t>VAT</t>
  </si>
  <si>
    <t>IMN</t>
  </si>
  <si>
    <t>JEY</t>
  </si>
  <si>
    <t>PRK</t>
  </si>
  <si>
    <t>Lebanon</t>
  </si>
  <si>
    <t>LBN</t>
  </si>
  <si>
    <t>MAC</t>
  </si>
  <si>
    <t>Marshall Islands</t>
  </si>
  <si>
    <t>MHL</t>
  </si>
  <si>
    <t>MTQ</t>
  </si>
  <si>
    <t>MYT</t>
  </si>
  <si>
    <t>MCO</t>
  </si>
  <si>
    <t>Montenegro</t>
  </si>
  <si>
    <t>MNE</t>
  </si>
  <si>
    <t>MSR</t>
  </si>
  <si>
    <t>Nauru</t>
  </si>
  <si>
    <t>NRU</t>
  </si>
  <si>
    <t>NCL</t>
  </si>
  <si>
    <t>Nigeria</t>
  </si>
  <si>
    <t>NGA</t>
  </si>
  <si>
    <t>NIU</t>
  </si>
  <si>
    <t>NFK</t>
  </si>
  <si>
    <t>MNP</t>
  </si>
  <si>
    <t>PSE</t>
  </si>
  <si>
    <t>PCN</t>
  </si>
  <si>
    <t>Puerto Rico</t>
  </si>
  <si>
    <t>PRI</t>
  </si>
  <si>
    <t>REU</t>
  </si>
  <si>
    <t>BLM</t>
  </si>
  <si>
    <t>SHN</t>
  </si>
  <si>
    <t>KNA</t>
  </si>
  <si>
    <t>MAF</t>
  </si>
  <si>
    <t>SPM</t>
  </si>
  <si>
    <t>SXM</t>
  </si>
  <si>
    <t>Somalia</t>
  </si>
  <si>
    <t>SOM</t>
  </si>
  <si>
    <t>SGS</t>
  </si>
  <si>
    <t>South Sudan</t>
  </si>
  <si>
    <t>SSD</t>
  </si>
  <si>
    <t>Suriname</t>
  </si>
  <si>
    <t>SUR</t>
  </si>
  <si>
    <t>SJM</t>
  </si>
  <si>
    <t>TWN</t>
  </si>
  <si>
    <t>TKL</t>
  </si>
  <si>
    <t>Turkmenistan</t>
  </si>
  <si>
    <t>TKM</t>
  </si>
  <si>
    <t>TCA</t>
  </si>
  <si>
    <t>UMI</t>
  </si>
  <si>
    <t>Vanuatu</t>
  </si>
  <si>
    <t>VUT</t>
  </si>
  <si>
    <t>VGB</t>
  </si>
  <si>
    <t>VIR</t>
  </si>
  <si>
    <t>WLF</t>
  </si>
  <si>
    <t>ESH</t>
  </si>
  <si>
    <t>Czech Republic</t>
  </si>
  <si>
    <t>Hong Kong SAR</t>
  </si>
  <si>
    <t>Korea</t>
  </si>
  <si>
    <t>Macao SAR</t>
  </si>
  <si>
    <t>The Netherlands</t>
  </si>
  <si>
    <t>Slovak Republic</t>
  </si>
  <si>
    <t>Taiwan Province of China</t>
  </si>
  <si>
    <t>The Bahamas</t>
  </si>
  <si>
    <t>Bolivia</t>
  </si>
  <si>
    <t>Democratic Republic</t>
  </si>
  <si>
    <t>  of the Congo</t>
  </si>
  <si>
    <t>Republic of Congo</t>
  </si>
  <si>
    <t>The Gambia</t>
  </si>
  <si>
    <t>Iran</t>
  </si>
  <si>
    <t>Kosovo</t>
  </si>
  <si>
    <t>Kyrgyz Republic</t>
  </si>
  <si>
    <t>Lao P.D.R.</t>
  </si>
  <si>
    <t>Moldova</t>
  </si>
  <si>
    <t>Russia</t>
  </si>
  <si>
    <t>São Tomé and Príncipe</t>
  </si>
  <si>
    <t>St. Kitts and Nevis</t>
  </si>
  <si>
    <t>St. Lucia</t>
  </si>
  <si>
    <t>St. Vincent and the Grenadines</t>
  </si>
  <si>
    <t>Syria</t>
  </si>
  <si>
    <t>Tanzania</t>
  </si>
  <si>
    <t>Venezuela</t>
  </si>
  <si>
    <t>Vietnam</t>
  </si>
  <si>
    <t>West Bank and Gaza</t>
  </si>
  <si>
    <t>Advanced</t>
  </si>
  <si>
    <t>Emerging and Developing</t>
  </si>
  <si>
    <t>continent</t>
  </si>
  <si>
    <t>economic_status</t>
  </si>
  <si>
    <t>N_locked</t>
  </si>
  <si>
    <t>E(Advanced)</t>
  </si>
  <si>
    <t>P(Advanced ≥ 30) =</t>
  </si>
  <si>
    <t>N</t>
  </si>
  <si>
    <t>μ</t>
  </si>
  <si>
    <t>Emerging</t>
  </si>
  <si>
    <t>AFE</t>
  </si>
  <si>
    <t>AFW</t>
  </si>
  <si>
    <t>ARB</t>
  </si>
  <si>
    <t>CEB</t>
  </si>
  <si>
    <t>CHI</t>
  </si>
  <si>
    <t>CSS</t>
  </si>
  <si>
    <t>EAP</t>
  </si>
  <si>
    <t>EAR</t>
  </si>
  <si>
    <t>EAS</t>
  </si>
  <si>
    <t>ECA</t>
  </si>
  <si>
    <t>ECS</t>
  </si>
  <si>
    <t>EMU</t>
  </si>
  <si>
    <t>EUU</t>
  </si>
  <si>
    <t>FCS</t>
  </si>
  <si>
    <t>HIC</t>
  </si>
  <si>
    <t>HPC</t>
  </si>
  <si>
    <t>IBD</t>
  </si>
  <si>
    <t>IBT</t>
  </si>
  <si>
    <t>IDA</t>
  </si>
  <si>
    <t>IDB</t>
  </si>
  <si>
    <t>IDX</t>
  </si>
  <si>
    <t>INX</t>
  </si>
  <si>
    <t>LAC</t>
  </si>
  <si>
    <t>LCN</t>
  </si>
  <si>
    <t>LDC</t>
  </si>
  <si>
    <t>LIC</t>
  </si>
  <si>
    <t>LMC</t>
  </si>
  <si>
    <t>LMY</t>
  </si>
  <si>
    <t>LTE</t>
  </si>
  <si>
    <t>MEA</t>
  </si>
  <si>
    <t>MIC</t>
  </si>
  <si>
    <t>MNA</t>
  </si>
  <si>
    <t>NAC</t>
  </si>
  <si>
    <t>OED</t>
  </si>
  <si>
    <t>OSS</t>
  </si>
  <si>
    <t>PRE</t>
  </si>
  <si>
    <t>PSS</t>
  </si>
  <si>
    <t>PST</t>
  </si>
  <si>
    <t>SAS</t>
  </si>
  <si>
    <t>SSA</t>
  </si>
  <si>
    <t>SSF</t>
  </si>
  <si>
    <t>SST</t>
  </si>
  <si>
    <t>TEA</t>
  </si>
  <si>
    <t>TEC</t>
  </si>
  <si>
    <t>TLA</t>
  </si>
  <si>
    <t>TMN</t>
  </si>
  <si>
    <t>TSA</t>
  </si>
  <si>
    <t>TSS</t>
  </si>
  <si>
    <t>UMC</t>
  </si>
  <si>
    <t>WLD</t>
  </si>
  <si>
    <t>XKX</t>
  </si>
  <si>
    <t>gdp_per_capita_2022</t>
  </si>
  <si>
    <t>R²</t>
  </si>
  <si>
    <t>log_gdp_per_capita_2022</t>
  </si>
  <si>
    <t>IQR</t>
  </si>
  <si>
    <t>South America</t>
  </si>
  <si>
    <t>North America</t>
  </si>
  <si>
    <t>Max Advanced</t>
  </si>
  <si>
    <t>k</t>
  </si>
  <si>
    <t>N.America</t>
  </si>
  <si>
    <t>S.America</t>
  </si>
  <si>
    <t>Conv:EUR+ASI</t>
  </si>
  <si>
    <t>Conv:+AUS</t>
  </si>
  <si>
    <t>Conv:+NAM</t>
  </si>
  <si>
    <t>Conv:+OC</t>
  </si>
  <si>
    <t>E(Advanced) =</t>
  </si>
  <si>
    <t>&lt;</t>
  </si>
  <si>
    <t>Advanced in sample</t>
  </si>
  <si>
    <t>Continent</t>
  </si>
  <si>
    <t>TOTAL</t>
  </si>
  <si>
    <t>Number of countries</t>
  </si>
  <si>
    <t>Sample size</t>
  </si>
  <si>
    <t>HYPGEOMDIST – P(X=k) for each continent</t>
  </si>
  <si>
    <t>Conv:+SAM</t>
  </si>
  <si>
    <t>Average attempts =</t>
  </si>
  <si>
    <t>Average</t>
  </si>
  <si>
    <t>Median</t>
  </si>
  <si>
    <t>Upper limit</t>
  </si>
  <si>
    <t>Lowe limit</t>
  </si>
  <si>
    <t>Standard deviation</t>
  </si>
  <si>
    <t>Error</t>
  </si>
  <si>
    <r>
      <t xml:space="preserve">H₀: μ = 0.695 </t>
    </r>
    <r>
      <rPr>
        <i/>
        <sz val="11"/>
        <color theme="1"/>
        <rFont val="Aptos Narrow"/>
        <family val="2"/>
        <charset val="238"/>
        <scheme val="minor"/>
      </rPr>
      <t>(the average HDI in the sample is equal to the IMF value)</t>
    </r>
  </si>
  <si>
    <r>
      <t xml:space="preserve">H₁: μ ≠ 0.695 </t>
    </r>
    <r>
      <rPr>
        <i/>
        <sz val="11"/>
        <color theme="1"/>
        <rFont val="Aptos Narrow"/>
        <family val="2"/>
        <charset val="238"/>
        <scheme val="minor"/>
      </rPr>
      <t>(the average HDI  is different)</t>
    </r>
  </si>
  <si>
    <t>t-statistics</t>
  </si>
  <si>
    <t>p-value</t>
  </si>
  <si>
    <t>Mean of differences</t>
  </si>
  <si>
    <t>Standard deviation of the means</t>
  </si>
  <si>
    <t>t-statistic</t>
  </si>
  <si>
    <t>t-critical</t>
  </si>
  <si>
    <r>
      <t>H₀: μ_d = 0 (mean of differences</t>
    </r>
    <r>
      <rPr>
        <i/>
        <sz val="11"/>
        <color theme="1"/>
        <rFont val="Aptos Narrow"/>
        <family val="2"/>
        <charset val="238"/>
        <scheme val="minor"/>
      </rPr>
      <t xml:space="preserve"> HDI 2022 − 2013 = 0)</t>
    </r>
  </si>
  <si>
    <r>
      <t xml:space="preserve">H₁: μ_d &gt; 0 </t>
    </r>
    <r>
      <rPr>
        <i/>
        <sz val="11"/>
        <color theme="1"/>
        <rFont val="Aptos Narrow"/>
        <family val="2"/>
        <charset val="238"/>
        <scheme val="minor"/>
      </rPr>
      <t>(HDI 2022 is higher than 2013)</t>
    </r>
  </si>
  <si>
    <t>Difference = hdi_2022 − hdi_2013</t>
  </si>
  <si>
    <t>T.test (p-value)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</si>
</sst>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"/>
  </numFmts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rgb="FF000000"/>
      <name val="Aptos Narrow"/>
      <scheme val="minor"/>
    </font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5" fillId="0" borderId="0" xfId="0" applyFont="1"/>
    <xf numFmtId="0" fontId="6" fillId="0" borderId="0" xfId="0" applyFont="1"/>
    <xf numFmtId="165" fontId="0" fillId="0" borderId="0" xfId="1" applyNumberFormat="1" applyFont="1"/>
    <xf numFmtId="0" fontId="7" fillId="0" borderId="0" xfId="0" applyFont="1"/>
    <xf numFmtId="165" fontId="0" fillId="0" borderId="0" xfId="0" applyNumberFormat="1"/>
    <xf numFmtId="10" fontId="0" fillId="3" borderId="0" xfId="1" applyNumberFormat="1" applyFont="1" applyFill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2013 - 2022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Sheet4!$C$2:$L$2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Sheet4!$C$3:$L$3</c:f>
              <c:numCache>
                <c:formatCode>0.000</c:formatCode>
                <c:ptCount val="10"/>
                <c:pt idx="0">
                  <c:v>0.71247333333333396</c:v>
                </c:pt>
                <c:pt idx="1">
                  <c:v>0.71670666666666671</c:v>
                </c:pt>
                <c:pt idx="2">
                  <c:v>0.72025333333333375</c:v>
                </c:pt>
                <c:pt idx="3">
                  <c:v>0.72401333333333318</c:v>
                </c:pt>
                <c:pt idx="4">
                  <c:v>0.72765333333333326</c:v>
                </c:pt>
                <c:pt idx="5">
                  <c:v>0.73108666666666688</c:v>
                </c:pt>
                <c:pt idx="6">
                  <c:v>0.73440666666666665</c:v>
                </c:pt>
                <c:pt idx="7">
                  <c:v>0.72993999999999992</c:v>
                </c:pt>
                <c:pt idx="8">
                  <c:v>0.72935999999999979</c:v>
                </c:pt>
                <c:pt idx="9">
                  <c:v>0.73374666666666644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F-AF43-82A6-73B1EC251C07}"/>
            </c:ext>
          </c:extLst>
        </c:ser>
        <c:ser>
          <c:idx val="1"/>
          <c:order val="1"/>
          <c:tx>
            <c:strRef>
              <c:f>Sheet4!$B$4</c:f>
              <c:strCache>
                <c:ptCount val="1"/>
                <c:pt idx="0">
                  <c:v>Lowe limit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Sheet4!$C$2:$L$2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Sheet4!$C$4:$L$4</c:f>
              <c:numCache>
                <c:formatCode>0.000</c:formatCode>
                <c:ptCount val="10"/>
                <c:pt idx="0">
                  <c:v>0.68693198069037564</c:v>
                </c:pt>
                <c:pt idx="1">
                  <c:v>0.69131806517119287</c:v>
                </c:pt>
                <c:pt idx="2">
                  <c:v>0.69502628183436566</c:v>
                </c:pt>
                <c:pt idx="3">
                  <c:v>0.69894559617645069</c:v>
                </c:pt>
                <c:pt idx="4">
                  <c:v>0.70260653362476144</c:v>
                </c:pt>
                <c:pt idx="5">
                  <c:v>0.70614883906124981</c:v>
                </c:pt>
                <c:pt idx="6">
                  <c:v>0.70954432512374355</c:v>
                </c:pt>
                <c:pt idx="7">
                  <c:v>0.70530087637755678</c:v>
                </c:pt>
                <c:pt idx="8">
                  <c:v>0.70441538951923388</c:v>
                </c:pt>
                <c:pt idx="9">
                  <c:v>0.70864913826953979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DF-AF43-82A6-73B1EC251C07}"/>
            </c:ext>
          </c:extLst>
        </c:ser>
        <c:ser>
          <c:idx val="2"/>
          <c:order val="2"/>
          <c:tx>
            <c:strRef>
              <c:f>Sheet4!$B$5</c:f>
              <c:strCache>
                <c:ptCount val="1"/>
                <c:pt idx="0">
                  <c:v>Upper limit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Sheet4!$C$2:$L$2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Sheet4!$C$5:$L$5</c:f>
              <c:numCache>
                <c:formatCode>0.000</c:formatCode>
                <c:ptCount val="10"/>
                <c:pt idx="0">
                  <c:v>0.73801468597629227</c:v>
                </c:pt>
                <c:pt idx="1">
                  <c:v>0.74209526816214055</c:v>
                </c:pt>
                <c:pt idx="2">
                  <c:v>0.74548038483230183</c:v>
                </c:pt>
                <c:pt idx="3">
                  <c:v>0.74908107049021566</c:v>
                </c:pt>
                <c:pt idx="4">
                  <c:v>0.75270013304190508</c:v>
                </c:pt>
                <c:pt idx="5">
                  <c:v>0.75602449427208396</c:v>
                </c:pt>
                <c:pt idx="6">
                  <c:v>0.75926900820958976</c:v>
                </c:pt>
                <c:pt idx="7">
                  <c:v>0.75457912362244306</c:v>
                </c:pt>
                <c:pt idx="8">
                  <c:v>0.75430461048076569</c:v>
                </c:pt>
                <c:pt idx="9">
                  <c:v>0.75884419506379308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DF-AF43-82A6-73B1EC251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414720"/>
        <c:axId val="1778415168"/>
      </c:lineChart>
      <c:catAx>
        <c:axId val="1778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415168"/>
        <c:crosses val="autoZero"/>
        <c:auto val="1"/>
        <c:lblAlgn val="ctr"/>
        <c:lblOffset val="100"/>
        <c:noMultiLvlLbl val="0"/>
      </c:catAx>
      <c:valAx>
        <c:axId val="17784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Europe</a:t>
            </a:r>
            <a:r>
              <a:rPr lang="en-US" baseline="0"/>
              <a:t> vs Africa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Sheet7!$C$2:$L$2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Sheet7!$C$3:$L$3</c:f>
              <c:numCache>
                <c:formatCode>0.000</c:formatCode>
                <c:ptCount val="10"/>
                <c:pt idx="0">
                  <c:v>0.87358823529411744</c:v>
                </c:pt>
                <c:pt idx="1">
                  <c:v>0.87735294117647067</c:v>
                </c:pt>
                <c:pt idx="2">
                  <c:v>0.87879411764705884</c:v>
                </c:pt>
                <c:pt idx="3">
                  <c:v>0.88179411764705895</c:v>
                </c:pt>
                <c:pt idx="4">
                  <c:v>0.88502941176470595</c:v>
                </c:pt>
                <c:pt idx="5">
                  <c:v>0.88741176470588234</c:v>
                </c:pt>
                <c:pt idx="6">
                  <c:v>0.89085294117647085</c:v>
                </c:pt>
                <c:pt idx="7">
                  <c:v>0.88508823529411784</c:v>
                </c:pt>
                <c:pt idx="8">
                  <c:v>0.88726470588235296</c:v>
                </c:pt>
                <c:pt idx="9">
                  <c:v>0.89088235294117668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E-E740-B968-A2627759F547}"/>
            </c:ext>
          </c:extLst>
        </c:ser>
        <c:ser>
          <c:idx val="1"/>
          <c:order val="1"/>
          <c:tx>
            <c:strRef>
              <c:f>Sheet7!$B$4</c:f>
              <c:strCache>
                <c:ptCount val="1"/>
                <c:pt idx="0">
                  <c:v>Africa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Sheet7!$C$2:$L$2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Sheet7!$C$4:$L$4</c:f>
              <c:numCache>
                <c:formatCode>0.000</c:formatCode>
                <c:ptCount val="10"/>
                <c:pt idx="0">
                  <c:v>0.54314634146341456</c:v>
                </c:pt>
                <c:pt idx="1">
                  <c:v>0.54860975609756091</c:v>
                </c:pt>
                <c:pt idx="2">
                  <c:v>0.55404878048780504</c:v>
                </c:pt>
                <c:pt idx="3">
                  <c:v>0.55887804878048797</c:v>
                </c:pt>
                <c:pt idx="4">
                  <c:v>0.56358536585365848</c:v>
                </c:pt>
                <c:pt idx="5">
                  <c:v>0.56780487804878055</c:v>
                </c:pt>
                <c:pt idx="6">
                  <c:v>0.57200000000000006</c:v>
                </c:pt>
                <c:pt idx="7">
                  <c:v>0.56978048780487811</c:v>
                </c:pt>
                <c:pt idx="8">
                  <c:v>0.56763414634146336</c:v>
                </c:pt>
                <c:pt idx="9">
                  <c:v>0.57107317073170705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E-E740-B968-A2627759F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279168"/>
        <c:axId val="1754657920"/>
      </c:lineChart>
      <c:catAx>
        <c:axId val="17552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57920"/>
        <c:crosses val="autoZero"/>
        <c:auto val="1"/>
        <c:lblAlgn val="ctr"/>
        <c:lblOffset val="100"/>
        <c:noMultiLvlLbl val="0"/>
      </c:catAx>
      <c:valAx>
        <c:axId val="17546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2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Advanced</a:t>
            </a:r>
            <a:r>
              <a:rPr lang="en-US" baseline="0"/>
              <a:t> vs Emerging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Sheet7!$B$8</c:f>
              <c:strCache>
                <c:ptCount val="1"/>
                <c:pt idx="0">
                  <c:v>Advanced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Sheet7!$C$7:$L$7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Sheet7!$C$8:$L$8</c:f>
              <c:numCache>
                <c:formatCode>0.000</c:formatCode>
                <c:ptCount val="10"/>
                <c:pt idx="0">
                  <c:v>0.90476666666666661</c:v>
                </c:pt>
                <c:pt idx="1">
                  <c:v>0.90773333333333339</c:v>
                </c:pt>
                <c:pt idx="2">
                  <c:v>0.90913333333333335</c:v>
                </c:pt>
                <c:pt idx="3">
                  <c:v>0.91180000000000005</c:v>
                </c:pt>
                <c:pt idx="4">
                  <c:v>0.91470000000000007</c:v>
                </c:pt>
                <c:pt idx="5">
                  <c:v>0.91710000000000003</c:v>
                </c:pt>
                <c:pt idx="6">
                  <c:v>0.92023333333333357</c:v>
                </c:pt>
                <c:pt idx="7">
                  <c:v>0.91643333333333332</c:v>
                </c:pt>
                <c:pt idx="8">
                  <c:v>0.9201666666666668</c:v>
                </c:pt>
                <c:pt idx="9">
                  <c:v>0.92476666666666651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A-C949-BAB2-BD234932BE32}"/>
            </c:ext>
          </c:extLst>
        </c:ser>
        <c:ser>
          <c:idx val="1"/>
          <c:order val="1"/>
          <c:tx>
            <c:strRef>
              <c:f>Sheet7!$B$9</c:f>
              <c:strCache>
                <c:ptCount val="1"/>
                <c:pt idx="0">
                  <c:v>Emerging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Sheet7!$C$7:$L$7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Sheet7!$C$9:$L$9</c:f>
              <c:numCache>
                <c:formatCode>0.000</c:formatCode>
                <c:ptCount val="10"/>
                <c:pt idx="0">
                  <c:v>0.6644000000000001</c:v>
                </c:pt>
                <c:pt idx="1">
                  <c:v>0.66894999999999982</c:v>
                </c:pt>
                <c:pt idx="2">
                  <c:v>0.67303333333333326</c:v>
                </c:pt>
                <c:pt idx="3">
                  <c:v>0.67706666666666693</c:v>
                </c:pt>
                <c:pt idx="4">
                  <c:v>0.68089166666666645</c:v>
                </c:pt>
                <c:pt idx="5">
                  <c:v>0.68458333333333321</c:v>
                </c:pt>
                <c:pt idx="6">
                  <c:v>0.68794999999999995</c:v>
                </c:pt>
                <c:pt idx="7">
                  <c:v>0.68331666666666657</c:v>
                </c:pt>
                <c:pt idx="8">
                  <c:v>0.68165833333333303</c:v>
                </c:pt>
                <c:pt idx="9">
                  <c:v>0.68599166666666644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7A-C949-BAB2-BD234932B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546688"/>
        <c:axId val="1706953792"/>
      </c:lineChart>
      <c:catAx>
        <c:axId val="17045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53792"/>
        <c:crosses val="autoZero"/>
        <c:auto val="1"/>
        <c:lblAlgn val="ctr"/>
        <c:lblOffset val="100"/>
        <c:noMultiLvlLbl val="0"/>
      </c:catAx>
      <c:valAx>
        <c:axId val="17069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5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Sheet8!$C$1</c:f>
              <c:strCache>
                <c:ptCount val="1"/>
                <c:pt idx="0">
                  <c:v>gdp_per_capita_2022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Sheet8!$C$2:$C$145</c:f>
              <c:numCache>
                <c:formatCode>0.000</c:formatCode>
                <c:ptCount val="144"/>
                <c:pt idx="0">
                  <c:v>8.9344945934050131</c:v>
                </c:pt>
                <c:pt idx="1">
                  <c:v>8.6972850893672984</c:v>
                </c:pt>
                <c:pt idx="2">
                  <c:v>6.857758384957017</c:v>
                </c:pt>
                <c:pt idx="3">
                  <c:v>7.709708087479834</c:v>
                </c:pt>
                <c:pt idx="4">
                  <c:v>6.8896963557899475</c:v>
                </c:pt>
                <c:pt idx="5">
                  <c:v>6.8732015850527413</c:v>
                </c:pt>
                <c:pt idx="6">
                  <c:v>8.1499303068229754</c:v>
                </c:pt>
                <c:pt idx="7">
                  <c:v>6.9374362388106832</c:v>
                </c:pt>
                <c:pt idx="8">
                  <c:v>6.9529588666877009</c:v>
                </c:pt>
                <c:pt idx="9">
                  <c:v>6.8701233096667389</c:v>
                </c:pt>
                <c:pt idx="10">
                  <c:v>8.350738961713196</c:v>
                </c:pt>
                <c:pt idx="11">
                  <c:v>6.360009178755484</c:v>
                </c:pt>
                <c:pt idx="12">
                  <c:v>6.1470994641956773</c:v>
                </c:pt>
                <c:pt idx="13">
                  <c:v>7.6542360438718395</c:v>
                </c:pt>
                <c:pt idx="14">
                  <c:v>7.2899378671851123</c:v>
                </c:pt>
                <c:pt idx="15">
                  <c:v>7.7789387225663233</c:v>
                </c:pt>
                <c:pt idx="16">
                  <c:v>6.7289214840694056</c:v>
                </c:pt>
                <c:pt idx="17">
                  <c:v>8.0498285729164429</c:v>
                </c:pt>
                <c:pt idx="18">
                  <c:v>8.5092221751070092</c:v>
                </c:pt>
                <c:pt idx="19">
                  <c:v>7.0963244702669108</c:v>
                </c:pt>
                <c:pt idx="20">
                  <c:v>7.8712494082054283</c:v>
                </c:pt>
                <c:pt idx="21">
                  <c:v>6.2216125756943947</c:v>
                </c:pt>
                <c:pt idx="22">
                  <c:v>7.2560121743633497</c:v>
                </c:pt>
                <c:pt idx="23">
                  <c:v>7.3808025653506242</c:v>
                </c:pt>
                <c:pt idx="24">
                  <c:v>6.6128702272483437</c:v>
                </c:pt>
                <c:pt idx="25">
                  <c:v>6.5334088064281923</c:v>
                </c:pt>
                <c:pt idx="26">
                  <c:v>7.1439549154760176</c:v>
                </c:pt>
                <c:pt idx="27">
                  <c:v>6.8829187131309917</c:v>
                </c:pt>
                <c:pt idx="28">
                  <c:v>6.71820466701939</c:v>
                </c:pt>
                <c:pt idx="29">
                  <c:v>8.2672337901000645</c:v>
                </c:pt>
                <c:pt idx="30">
                  <c:v>9.0370825047683407</c:v>
                </c:pt>
                <c:pt idx="31">
                  <c:v>8.7848126508184716</c:v>
                </c:pt>
                <c:pt idx="32">
                  <c:v>8.3717774288787066</c:v>
                </c:pt>
                <c:pt idx="33">
                  <c:v>9.0274637483611393</c:v>
                </c:pt>
                <c:pt idx="34">
                  <c:v>9.2346916287503102</c:v>
                </c:pt>
                <c:pt idx="35">
                  <c:v>8.2180571938264091</c:v>
                </c:pt>
                <c:pt idx="36">
                  <c:v>7.2773327955769442</c:v>
                </c:pt>
                <c:pt idx="37">
                  <c:v>7.3613932877759476</c:v>
                </c:pt>
                <c:pt idx="38">
                  <c:v>6.4040206876474199</c:v>
                </c:pt>
                <c:pt idx="39">
                  <c:v>7.7550694020942448</c:v>
                </c:pt>
                <c:pt idx="40">
                  <c:v>6.4130410797047963</c:v>
                </c:pt>
                <c:pt idx="41">
                  <c:v>8.9581019166280154</c:v>
                </c:pt>
                <c:pt idx="42">
                  <c:v>7.3384480175087168</c:v>
                </c:pt>
                <c:pt idx="43">
                  <c:v>7.8550278350730833</c:v>
                </c:pt>
                <c:pt idx="44">
                  <c:v>10.796015045917985</c:v>
                </c:pt>
                <c:pt idx="45">
                  <c:v>9.3719971929651855</c:v>
                </c:pt>
                <c:pt idx="46">
                  <c:v>9.3285979261419598</c:v>
                </c:pt>
                <c:pt idx="47">
                  <c:v>8.1741588781879333</c:v>
                </c:pt>
                <c:pt idx="48">
                  <c:v>7.6238395809395456</c:v>
                </c:pt>
                <c:pt idx="49">
                  <c:v>10.914172073547821</c:v>
                </c:pt>
                <c:pt idx="50">
                  <c:v>10.052923545674085</c:v>
                </c:pt>
                <c:pt idx="51">
                  <c:v>6.9586189966148044</c:v>
                </c:pt>
                <c:pt idx="52">
                  <c:v>10.436044645128055</c:v>
                </c:pt>
                <c:pt idx="53">
                  <c:v>7.2341127187978271</c:v>
                </c:pt>
                <c:pt idx="54">
                  <c:v>10.411239748156701</c:v>
                </c:pt>
                <c:pt idx="55">
                  <c:v>8.4598192091666178</c:v>
                </c:pt>
                <c:pt idx="56">
                  <c:v>10.596178856700218</c:v>
                </c:pt>
                <c:pt idx="57">
                  <c:v>10.324515000156007</c:v>
                </c:pt>
                <c:pt idx="58">
                  <c:v>6.9581360821761988</c:v>
                </c:pt>
                <c:pt idx="59">
                  <c:v>7.0544928782697491</c:v>
                </c:pt>
                <c:pt idx="60">
                  <c:v>8.790569592965797</c:v>
                </c:pt>
                <c:pt idx="61">
                  <c:v>10.458016274693851</c:v>
                </c:pt>
                <c:pt idx="62">
                  <c:v>10.508702789787989</c:v>
                </c:pt>
                <c:pt idx="63">
                  <c:v>7.4614795631843265</c:v>
                </c:pt>
                <c:pt idx="64">
                  <c:v>7.9070943865193017</c:v>
                </c:pt>
                <c:pt idx="65">
                  <c:v>8.3738426858433872</c:v>
                </c:pt>
                <c:pt idx="66">
                  <c:v>5.8784670353569624</c:v>
                </c:pt>
                <c:pt idx="67">
                  <c:v>8.1145151458385971</c:v>
                </c:pt>
                <c:pt idx="68">
                  <c:v>8.8143076289168878</c:v>
                </c:pt>
                <c:pt idx="69">
                  <c:v>9.3746692859633196</c:v>
                </c:pt>
                <c:pt idx="70">
                  <c:v>7.761084183150774</c:v>
                </c:pt>
                <c:pt idx="71">
                  <c:v>10.834859172014049</c:v>
                </c:pt>
                <c:pt idx="72">
                  <c:v>8.7827418495468912</c:v>
                </c:pt>
                <c:pt idx="73">
                  <c:v>7.7514884362149825</c:v>
                </c:pt>
                <c:pt idx="74">
                  <c:v>9.2963198650900551</c:v>
                </c:pt>
                <c:pt idx="75">
                  <c:v>11.410882434811564</c:v>
                </c:pt>
                <c:pt idx="76">
                  <c:v>11.393031729603598</c:v>
                </c:pt>
                <c:pt idx="77">
                  <c:v>8.8406312539094962</c:v>
                </c:pt>
                <c:pt idx="78">
                  <c:v>11.084747140137008</c:v>
                </c:pt>
                <c:pt idx="79">
                  <c:v>10.319546305978465</c:v>
                </c:pt>
                <c:pt idx="80">
                  <c:v>10.130056594153579</c:v>
                </c:pt>
                <c:pt idx="81">
                  <c:v>10.48161393457265</c:v>
                </c:pt>
                <c:pt idx="82">
                  <c:v>11.243089270026532</c:v>
                </c:pt>
                <c:pt idx="83">
                  <c:v>10.987380687334896</c:v>
                </c:pt>
                <c:pt idx="84">
                  <c:v>10.62105022436505</c:v>
                </c:pt>
                <c:pt idx="85">
                  <c:v>9.5467551069442074</c:v>
                </c:pt>
                <c:pt idx="86">
                  <c:v>9.8464521246625072</c:v>
                </c:pt>
                <c:pt idx="87">
                  <c:v>11.601572778918319</c:v>
                </c:pt>
                <c:pt idx="88">
                  <c:v>9.9672974207706382</c:v>
                </c:pt>
                <c:pt idx="89">
                  <c:v>11.455238201078446</c:v>
                </c:pt>
                <c:pt idx="90">
                  <c:v>8.9367239172932447</c:v>
                </c:pt>
                <c:pt idx="91">
                  <c:v>10.111335512431898</c:v>
                </c:pt>
                <c:pt idx="92">
                  <c:v>10.759115829878199</c:v>
                </c:pt>
                <c:pt idx="93">
                  <c:v>9.9468594596641893</c:v>
                </c:pt>
                <c:pt idx="94">
                  <c:v>12.144489768171015</c:v>
                </c:pt>
                <c:pt idx="95">
                  <c:v>10.249988748460938</c:v>
                </c:pt>
                <c:pt idx="96">
                  <c:v>11.563530039244521</c:v>
                </c:pt>
                <c:pt idx="97">
                  <c:v>9.2128192071241788</c:v>
                </c:pt>
                <c:pt idx="98">
                  <c:v>10.91211843440294</c:v>
                </c:pt>
                <c:pt idx="99">
                  <c:v>11.124038586960536</c:v>
                </c:pt>
                <c:pt idx="100">
                  <c:v>8.6559626727691885</c:v>
                </c:pt>
                <c:pt idx="101">
                  <c:v>9.8236616471926013</c:v>
                </c:pt>
                <c:pt idx="102">
                  <c:v>10.900267202670912</c:v>
                </c:pt>
                <c:pt idx="103">
                  <c:v>8.3427614440585209</c:v>
                </c:pt>
                <c:pt idx="104">
                  <c:v>10.481192649334959</c:v>
                </c:pt>
                <c:pt idx="105">
                  <c:v>10.865454510063607</c:v>
                </c:pt>
                <c:pt idx="106">
                  <c:v>10.83182047925489</c:v>
                </c:pt>
                <c:pt idx="107">
                  <c:v>9.6562827303871419</c:v>
                </c:pt>
                <c:pt idx="108">
                  <c:v>11.725773470571477</c:v>
                </c:pt>
                <c:pt idx="109">
                  <c:v>10.252043017034934</c:v>
                </c:pt>
                <c:pt idx="110">
                  <c:v>10.828550896282051</c:v>
                </c:pt>
                <c:pt idx="111">
                  <c:v>8.9431919288545245</c:v>
                </c:pt>
                <c:pt idx="112">
                  <c:v>10.829857676241655</c:v>
                </c:pt>
                <c:pt idx="113">
                  <c:v>7.7505676115569075</c:v>
                </c:pt>
                <c:pt idx="114">
                  <c:v>8.7988282706011098</c:v>
                </c:pt>
                <c:pt idx="115">
                  <c:v>8.5864769803159486</c:v>
                </c:pt>
                <c:pt idx="116">
                  <c:v>10.937682214092023</c:v>
                </c:pt>
                <c:pt idx="117">
                  <c:v>8.5320033968953517</c:v>
                </c:pt>
                <c:pt idx="118">
                  <c:v>9.4806593978833025</c:v>
                </c:pt>
                <c:pt idx="119">
                  <c:v>10.461878627960107</c:v>
                </c:pt>
                <c:pt idx="120">
                  <c:v>7.4734249110833026</c:v>
                </c:pt>
                <c:pt idx="121">
                  <c:v>9.1792168903019729</c:v>
                </c:pt>
                <c:pt idx="122">
                  <c:v>9.1403106299103882</c:v>
                </c:pt>
                <c:pt idx="123">
                  <c:v>10.101807069324481</c:v>
                </c:pt>
                <c:pt idx="124">
                  <c:v>8.863363574336633</c:v>
                </c:pt>
                <c:pt idx="125">
                  <c:v>8.0074636234282632</c:v>
                </c:pt>
                <c:pt idx="126">
                  <c:v>11.247099451256936</c:v>
                </c:pt>
                <c:pt idx="127">
                  <c:v>9.9403265952241178</c:v>
                </c:pt>
                <c:pt idx="128">
                  <c:v>9.2207109016621676</c:v>
                </c:pt>
                <c:pt idx="129">
                  <c:v>9.5197277311074942</c:v>
                </c:pt>
                <c:pt idx="130">
                  <c:v>9.5273210404887188</c:v>
                </c:pt>
                <c:pt idx="131">
                  <c:v>8.5750883353594602</c:v>
                </c:pt>
                <c:pt idx="132">
                  <c:v>8.2188207183805631</c:v>
                </c:pt>
                <c:pt idx="133">
                  <c:v>8.5967658046126783</c:v>
                </c:pt>
                <c:pt idx="134">
                  <c:v>10.801608387084805</c:v>
                </c:pt>
                <c:pt idx="135">
                  <c:v>8.0398957275127696</c:v>
                </c:pt>
                <c:pt idx="136">
                  <c:v>8.6846256655579968</c:v>
                </c:pt>
                <c:pt idx="137">
                  <c:v>8.3266250480042991</c:v>
                </c:pt>
                <c:pt idx="138">
                  <c:v>7.5378460608515425</c:v>
                </c:pt>
                <c:pt idx="139">
                  <c:v>9.9436027981682127</c:v>
                </c:pt>
                <c:pt idx="140">
                  <c:v>8.902541349073875</c:v>
                </c:pt>
                <c:pt idx="141">
                  <c:v>9.6424874361953457</c:v>
                </c:pt>
                <c:pt idx="142">
                  <c:v>8.0567571092762691</c:v>
                </c:pt>
                <c:pt idx="143">
                  <c:v>9.1357604383122997</c:v>
                </c:pt>
              </c:numCache>
            </c:numRef>
          </c:xVal>
          <c:yVal>
            <c:numRef>
              <c:f>Sheet8!$B$2:$B$147</c:f>
              <c:numCache>
                <c:formatCode>General</c:formatCode>
                <c:ptCount val="146"/>
                <c:pt idx="0">
                  <c:v>0.65</c:v>
                </c:pt>
                <c:pt idx="1">
                  <c:v>0.746</c:v>
                </c:pt>
                <c:pt idx="2">
                  <c:v>0.54700000000000004</c:v>
                </c:pt>
                <c:pt idx="3">
                  <c:v>0.60199999999999998</c:v>
                </c:pt>
                <c:pt idx="4">
                  <c:v>0.49199999999999999</c:v>
                </c:pt>
                <c:pt idx="5">
                  <c:v>0.39400000000000002</c:v>
                </c:pt>
                <c:pt idx="6">
                  <c:v>0.69799999999999995</c:v>
                </c:pt>
                <c:pt idx="7">
                  <c:v>0.52100000000000002</c:v>
                </c:pt>
                <c:pt idx="8">
                  <c:v>0.51600000000000001</c:v>
                </c:pt>
                <c:pt idx="9">
                  <c:v>0.55000000000000004</c:v>
                </c:pt>
                <c:pt idx="10">
                  <c:v>0.72799999999999998</c:v>
                </c:pt>
                <c:pt idx="11">
                  <c:v>0.46100000000000002</c:v>
                </c:pt>
                <c:pt idx="12">
                  <c:v>0.38700000000000001</c:v>
                </c:pt>
                <c:pt idx="13">
                  <c:v>0.60099999999999998</c:v>
                </c:pt>
                <c:pt idx="14">
                  <c:v>0.58599999999999997</c:v>
                </c:pt>
                <c:pt idx="15">
                  <c:v>0.61299999999999999</c:v>
                </c:pt>
                <c:pt idx="16">
                  <c:v>0.495</c:v>
                </c:pt>
                <c:pt idx="17">
                  <c:v>0.51500000000000001</c:v>
                </c:pt>
                <c:pt idx="18">
                  <c:v>0.745</c:v>
                </c:pt>
                <c:pt idx="19">
                  <c:v>0.53200000000000003</c:v>
                </c:pt>
                <c:pt idx="20">
                  <c:v>0.59299999999999997</c:v>
                </c:pt>
                <c:pt idx="21">
                  <c:v>0.48699999999999999</c:v>
                </c:pt>
                <c:pt idx="22">
                  <c:v>0.47099999999999997</c:v>
                </c:pt>
                <c:pt idx="23">
                  <c:v>0.58699999999999997</c:v>
                </c:pt>
                <c:pt idx="24">
                  <c:v>0.48699999999999999</c:v>
                </c:pt>
                <c:pt idx="25">
                  <c:v>0.48099999999999998</c:v>
                </c:pt>
                <c:pt idx="26">
                  <c:v>0.504</c:v>
                </c:pt>
                <c:pt idx="27">
                  <c:v>0.54800000000000004</c:v>
                </c:pt>
                <c:pt idx="28">
                  <c:v>0.438</c:v>
                </c:pt>
                <c:pt idx="29">
                  <c:v>0.61</c:v>
                </c:pt>
                <c:pt idx="30">
                  <c:v>0.69299999999999995</c:v>
                </c:pt>
                <c:pt idx="31">
                  <c:v>0.71699999999999997</c:v>
                </c:pt>
                <c:pt idx="32">
                  <c:v>0.66100000000000003</c:v>
                </c:pt>
                <c:pt idx="33">
                  <c:v>0.70799999999999996</c:v>
                </c:pt>
                <c:pt idx="34">
                  <c:v>0.79600000000000004</c:v>
                </c:pt>
                <c:pt idx="35">
                  <c:v>0.73199999999999998</c:v>
                </c:pt>
                <c:pt idx="36">
                  <c:v>0.56899999999999995</c:v>
                </c:pt>
                <c:pt idx="37">
                  <c:v>0.51700000000000002</c:v>
                </c:pt>
                <c:pt idx="38">
                  <c:v>0.50800000000000001</c:v>
                </c:pt>
                <c:pt idx="39">
                  <c:v>0.53400000000000003</c:v>
                </c:pt>
                <c:pt idx="40">
                  <c:v>0.39400000000000002</c:v>
                </c:pt>
                <c:pt idx="41">
                  <c:v>0.76</c:v>
                </c:pt>
                <c:pt idx="42">
                  <c:v>0.54</c:v>
                </c:pt>
                <c:pt idx="43">
                  <c:v>0.72699999999999998</c:v>
                </c:pt>
                <c:pt idx="44">
                  <c:v>0.95599999999999996</c:v>
                </c:pt>
                <c:pt idx="45">
                  <c:v>0.80700000000000005</c:v>
                </c:pt>
                <c:pt idx="46">
                  <c:v>0.80200000000000005</c:v>
                </c:pt>
                <c:pt idx="47">
                  <c:v>0.71</c:v>
                </c:pt>
                <c:pt idx="48">
                  <c:v>0.62</c:v>
                </c:pt>
                <c:pt idx="49">
                  <c:v>0.91500000000000004</c:v>
                </c:pt>
                <c:pt idx="50">
                  <c:v>0.81899999999999995</c:v>
                </c:pt>
                <c:pt idx="51">
                  <c:v>0.67900000000000005</c:v>
                </c:pt>
                <c:pt idx="52">
                  <c:v>0.92</c:v>
                </c:pt>
                <c:pt idx="53">
                  <c:v>0.60099999999999998</c:v>
                </c:pt>
                <c:pt idx="54">
                  <c:v>0.90700000000000003</c:v>
                </c:pt>
                <c:pt idx="55">
                  <c:v>0.78</c:v>
                </c:pt>
                <c:pt idx="56">
                  <c:v>0.84699999999999998</c:v>
                </c:pt>
                <c:pt idx="57">
                  <c:v>0.88800000000000001</c:v>
                </c:pt>
                <c:pt idx="58">
                  <c:v>0.55700000000000005</c:v>
                </c:pt>
                <c:pt idx="59">
                  <c:v>0.60799999999999998</c:v>
                </c:pt>
                <c:pt idx="60">
                  <c:v>0.78600000000000003</c:v>
                </c:pt>
                <c:pt idx="61">
                  <c:v>0.92900000000000005</c:v>
                </c:pt>
                <c:pt idx="62">
                  <c:v>0.82299999999999995</c:v>
                </c:pt>
                <c:pt idx="63">
                  <c:v>0.70099999999999996</c:v>
                </c:pt>
                <c:pt idx="64">
                  <c:v>0.67</c:v>
                </c:pt>
                <c:pt idx="65">
                  <c:v>0.73599999999999999</c:v>
                </c:pt>
                <c:pt idx="66">
                  <c:v>0.46200000000000002</c:v>
                </c:pt>
                <c:pt idx="67">
                  <c:v>0.78</c:v>
                </c:pt>
                <c:pt idx="68">
                  <c:v>0.81399999999999995</c:v>
                </c:pt>
                <c:pt idx="69">
                  <c:v>0.76200000000000001</c:v>
                </c:pt>
                <c:pt idx="70">
                  <c:v>0.64400000000000002</c:v>
                </c:pt>
                <c:pt idx="71">
                  <c:v>0.93700000000000006</c:v>
                </c:pt>
                <c:pt idx="72">
                  <c:v>0.67300000000000004</c:v>
                </c:pt>
                <c:pt idx="73">
                  <c:v>0.6</c:v>
                </c:pt>
                <c:pt idx="74">
                  <c:v>0.85499999999999998</c:v>
                </c:pt>
                <c:pt idx="75">
                  <c:v>0.94899999999999995</c:v>
                </c:pt>
                <c:pt idx="76">
                  <c:v>0.875</c:v>
                </c:pt>
                <c:pt idx="77">
                  <c:v>0.80300000000000005</c:v>
                </c:pt>
                <c:pt idx="78">
                  <c:v>0.94599999999999995</c:v>
                </c:pt>
                <c:pt idx="79">
                  <c:v>0.91100000000000003</c:v>
                </c:pt>
                <c:pt idx="80">
                  <c:v>0.879</c:v>
                </c:pt>
                <c:pt idx="81">
                  <c:v>0.90600000000000003</c:v>
                </c:pt>
                <c:pt idx="82">
                  <c:v>0.95899999999999996</c:v>
                </c:pt>
                <c:pt idx="83">
                  <c:v>0.94599999999999995</c:v>
                </c:pt>
                <c:pt idx="84">
                  <c:v>0.91</c:v>
                </c:pt>
                <c:pt idx="85">
                  <c:v>0.79900000000000004</c:v>
                </c:pt>
                <c:pt idx="86">
                  <c:v>0.88100000000000001</c:v>
                </c:pt>
                <c:pt idx="87">
                  <c:v>0.96599999999999997</c:v>
                </c:pt>
                <c:pt idx="88">
                  <c:v>0.85499999999999998</c:v>
                </c:pt>
                <c:pt idx="89">
                  <c:v>0.96699999999999997</c:v>
                </c:pt>
                <c:pt idx="90">
                  <c:v>0.76500000000000001</c:v>
                </c:pt>
                <c:pt idx="91">
                  <c:v>0.874</c:v>
                </c:pt>
                <c:pt idx="92">
                  <c:v>0.94</c:v>
                </c:pt>
                <c:pt idx="93">
                  <c:v>0.89300000000000002</c:v>
                </c:pt>
                <c:pt idx="94">
                  <c:v>0.94199999999999995</c:v>
                </c:pt>
                <c:pt idx="95">
                  <c:v>0.89500000000000002</c:v>
                </c:pt>
                <c:pt idx="96">
                  <c:v>0.95</c:v>
                </c:pt>
                <c:pt idx="97">
                  <c:v>0.80500000000000005</c:v>
                </c:pt>
                <c:pt idx="98">
                  <c:v>0.95199999999999996</c:v>
                </c:pt>
                <c:pt idx="99">
                  <c:v>0.95199999999999996</c:v>
                </c:pt>
                <c:pt idx="100">
                  <c:v>0.76300000000000001</c:v>
                </c:pt>
                <c:pt idx="101">
                  <c:v>0.878</c:v>
                </c:pt>
                <c:pt idx="102">
                  <c:v>0.86699999999999999</c:v>
                </c:pt>
                <c:pt idx="103">
                  <c:v>0.73399999999999999</c:v>
                </c:pt>
                <c:pt idx="104">
                  <c:v>0.91500000000000004</c:v>
                </c:pt>
                <c:pt idx="105">
                  <c:v>0.92600000000000005</c:v>
                </c:pt>
                <c:pt idx="106">
                  <c:v>0.94199999999999995</c:v>
                </c:pt>
                <c:pt idx="107">
                  <c:v>0.82099999999999995</c:v>
                </c:pt>
                <c:pt idx="108">
                  <c:v>0.92700000000000005</c:v>
                </c:pt>
                <c:pt idx="109">
                  <c:v>0.89900000000000002</c:v>
                </c:pt>
                <c:pt idx="110">
                  <c:v>0.94199999999999995</c:v>
                </c:pt>
                <c:pt idx="111">
                  <c:v>0.77900000000000003</c:v>
                </c:pt>
                <c:pt idx="112">
                  <c:v>0.95</c:v>
                </c:pt>
                <c:pt idx="113">
                  <c:v>0.66900000000000004</c:v>
                </c:pt>
                <c:pt idx="114">
                  <c:v>0.70599999999999996</c:v>
                </c:pt>
                <c:pt idx="115">
                  <c:v>0.629</c:v>
                </c:pt>
                <c:pt idx="116">
                  <c:v>0.93500000000000005</c:v>
                </c:pt>
                <c:pt idx="117">
                  <c:v>0.67400000000000004</c:v>
                </c:pt>
                <c:pt idx="118">
                  <c:v>0.72499999999999998</c:v>
                </c:pt>
                <c:pt idx="119">
                  <c:v>0.82</c:v>
                </c:pt>
                <c:pt idx="120">
                  <c:v>0.55200000000000005</c:v>
                </c:pt>
                <c:pt idx="121">
                  <c:v>0.77200000000000002</c:v>
                </c:pt>
                <c:pt idx="122">
                  <c:v>0.74</c:v>
                </c:pt>
                <c:pt idx="123">
                  <c:v>0.80900000000000005</c:v>
                </c:pt>
                <c:pt idx="124">
                  <c:v>0.7</c:v>
                </c:pt>
                <c:pt idx="125">
                  <c:v>0.624</c:v>
                </c:pt>
                <c:pt idx="126">
                  <c:v>0.92700000000000005</c:v>
                </c:pt>
                <c:pt idx="127">
                  <c:v>0.81399999999999995</c:v>
                </c:pt>
                <c:pt idx="128">
                  <c:v>0.76600000000000001</c:v>
                </c:pt>
                <c:pt idx="129">
                  <c:v>0.80600000000000005</c:v>
                </c:pt>
                <c:pt idx="130">
                  <c:v>0.79700000000000004</c:v>
                </c:pt>
                <c:pt idx="131">
                  <c:v>0.73899999999999999</c:v>
                </c:pt>
                <c:pt idx="132">
                  <c:v>0.63400000000000001</c:v>
                </c:pt>
                <c:pt idx="133">
                  <c:v>0.72899999999999998</c:v>
                </c:pt>
                <c:pt idx="134">
                  <c:v>0.93899999999999995</c:v>
                </c:pt>
                <c:pt idx="135">
                  <c:v>0.56799999999999995</c:v>
                </c:pt>
                <c:pt idx="136">
                  <c:v>0.65300000000000002</c:v>
                </c:pt>
                <c:pt idx="137">
                  <c:v>0.70199999999999996</c:v>
                </c:pt>
                <c:pt idx="138">
                  <c:v>0.56200000000000006</c:v>
                </c:pt>
                <c:pt idx="139">
                  <c:v>0.83</c:v>
                </c:pt>
                <c:pt idx="140">
                  <c:v>0.76200000000000001</c:v>
                </c:pt>
                <c:pt idx="141">
                  <c:v>0.86</c:v>
                </c:pt>
                <c:pt idx="142">
                  <c:v>0.69899999999999995</c:v>
                </c:pt>
                <c:pt idx="143">
                  <c:v>0.76</c:v>
                </c:pt>
                <c:pt idx="144">
                  <c:v>0.73099999999999998</c:v>
                </c:pt>
                <c:pt idx="145">
                  <c:v>0.75800000000000001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4-A148-8D92-3A9A14E9F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073600"/>
        <c:axId val="1755070912"/>
      </c:scatterChart>
      <c:valAx>
        <c:axId val="175507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log(GDP per capita)</a:t>
                </a:r>
              </a:p>
            </c:rich>
          </c:tx>
          <c:layout>
            <c:manualLayout>
              <c:xMode val="edge"/>
              <c:yMode val="edge"/>
              <c:x val="0.45520277707222079"/>
              <c:y val="0.928348807145375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70912"/>
        <c:crosses val="autoZero"/>
        <c:crossBetween val="midCat"/>
      </c:valAx>
      <c:valAx>
        <c:axId val="17550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HDI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7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title pos="t" align="ctr" overlay="0">
      <cx:tx>
        <cx:txData>
          <cx:v>HDI 2013 - 2022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HDI 2013 - 2022</a:t>
          </a:r>
        </a:p>
      </cx:txPr>
    </cx:title>
    <cx:plotArea>
      <cx:plotAreaRegion>
        <cx:series layoutId="boxWhisker" uniqueId="{244C3181-AEAF-BF4C-B7BC-7908666C33F5}">
          <cx:tx>
            <cx:txData>
              <cx:f>_xlchart.v1.0</cx:f>
              <cx:v>hdi_2013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32AB30B-354F-204E-97B6-A53FD43508F9}">
          <cx:tx>
            <cx:txData>
              <cx:f>_xlchart.v1.2</cx:f>
              <cx:v>hdi_2014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EFF985C-61C6-9A4C-B38A-807F8C552CF1}">
          <cx:tx>
            <cx:txData>
              <cx:f>_xlchart.v1.4</cx:f>
              <cx:v>hdi_2015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7FADB62-60AD-F84C-B9D1-14967D2CA95E}">
          <cx:tx>
            <cx:txData>
              <cx:f>_xlchart.v1.6</cx:f>
              <cx:v>hdi_2016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4A9B118-F2BF-384F-B4A3-AB2F22AC7577}">
          <cx:tx>
            <cx:txData>
              <cx:f>_xlchart.v1.8</cx:f>
              <cx:v>hdi_2017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14C8C6EB-971C-9E41-B6BD-0B5C4AEFECA2}">
          <cx:tx>
            <cx:txData>
              <cx:f>_xlchart.v1.10</cx:f>
              <cx:v>hdi_2018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99C367B-3D8C-FF48-97B5-F8E4876C21A3}">
          <cx:tx>
            <cx:txData>
              <cx:f>_xlchart.v1.12</cx:f>
              <cx:v>hdi_2019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BD711237-EAE5-BB42-B833-8ADD6A119641}">
          <cx:tx>
            <cx:txData>
              <cx:f>_xlchart.v1.14</cx:f>
              <cx:v>hdi_2020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31A3DAB-D3B8-5648-8DC1-F77F0F102ED3}">
          <cx:tx>
            <cx:txData>
              <cx:f>_xlchart.v1.16</cx:f>
              <cx:v>hdi_2021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97E9AC1D-8E2E-6440-9E5C-FFC30861B60C}">
          <cx:tx>
            <cx:txData>
              <cx:f>_xlchart.v1.18</cx:f>
              <cx:v>hdi_2022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73472</xdr:rowOff>
    </xdr:from>
    <xdr:to>
      <xdr:col>10</xdr:col>
      <xdr:colOff>241404</xdr:colOff>
      <xdr:row>26</xdr:row>
      <xdr:rowOff>73471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7C5BA6B-BFFD-1F40-BDDF-67C3BD09A0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0" y="454472"/>
              <a:ext cx="7670904" cy="4571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8</xdr:row>
      <xdr:rowOff>6350</xdr:rowOff>
    </xdr:from>
    <xdr:to>
      <xdr:col>10</xdr:col>
      <xdr:colOff>558800</xdr:colOff>
      <xdr:row>27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8B3B7E-BBC7-FEAE-CB36-9F36AF358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11</xdr:row>
      <xdr:rowOff>0</xdr:rowOff>
    </xdr:from>
    <xdr:to>
      <xdr:col>8</xdr:col>
      <xdr:colOff>266700</xdr:colOff>
      <xdr:row>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951A6-8A94-CA4C-3E8F-AE58B7BE0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16</xdr:col>
      <xdr:colOff>368300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59C002-C6C4-5A9A-37AD-1A4526B73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12700</xdr:colOff>
      <xdr:row>39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48127E-F773-99E6-BA08-EAEBA5630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251E4C-CD57-3142-B880-61202102F8AD}" autoFormatId="16" applyNumberFormats="0" applyBorderFormats="0" applyFontFormats="0" applyPatternFormats="0" applyAlignmentFormats="0" applyWidthHeightFormats="0">
  <queryTableRefresh nextId="12">
    <queryTableFields count="2">
      <queryTableField id="3" name="alpha-3" tableColumnId="3"/>
      <queryTableField id="6" name="region" tableColumnId="6"/>
    </queryTableFields>
    <queryTableDeletedFields count="9">
      <deletedField name="name"/>
      <deletedField name="alpha-2"/>
      <deletedField name="country-code"/>
      <deletedField name="iso_3166-2"/>
      <deletedField name="sub-region"/>
      <deletedField name="intermediate-region"/>
      <deletedField name="region-code"/>
      <deletedField name="sub-region-code"/>
      <deletedField name="intermediate-region-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F1D1A-891B-EF45-AFE7-D9FFEA1F1214}" name="countries" displayName="countries" ref="D1:E250" tableType="queryTable" totalsRowShown="0">
  <tableColumns count="2">
    <tableColumn id="3" xr3:uid="{2AE7D296-D2DC-E849-90B2-69525AA0FB80}" uniqueName="3" name="iso3" queryTableFieldId="3"/>
    <tableColumn id="6" xr3:uid="{9B597198-5B5E-4D42-ACB1-1326CDD4B2CD}" uniqueName="6" name="continent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5E8D-8F32-E44B-A57D-12194732EB37}">
  <dimension ref="A1:H267"/>
  <sheetViews>
    <sheetView workbookViewId="0">
      <selection activeCell="M7" sqref="M7"/>
    </sheetView>
  </sheetViews>
  <sheetFormatPr baseColWidth="10" defaultRowHeight="15" x14ac:dyDescent="0.2"/>
  <cols>
    <col min="2" max="2" width="19.5" bestFit="1" customWidth="1"/>
    <col min="8" max="8" width="17.5" bestFit="1" customWidth="1"/>
  </cols>
  <sheetData>
    <row r="1" spans="1:8" x14ac:dyDescent="0.2">
      <c r="A1" s="10" t="s">
        <v>383</v>
      </c>
      <c r="B1" s="10" t="s">
        <v>504</v>
      </c>
      <c r="D1" t="s">
        <v>0</v>
      </c>
      <c r="E1" t="s">
        <v>506</v>
      </c>
      <c r="G1" t="s">
        <v>0</v>
      </c>
      <c r="H1" s="14" t="s">
        <v>565</v>
      </c>
    </row>
    <row r="2" spans="1:8" x14ac:dyDescent="0.2">
      <c r="A2" s="10" t="s">
        <v>248</v>
      </c>
      <c r="B2" s="10" t="s">
        <v>504</v>
      </c>
      <c r="D2" t="s">
        <v>115</v>
      </c>
      <c r="E2" t="s">
        <v>376</v>
      </c>
      <c r="G2" t="s">
        <v>393</v>
      </c>
      <c r="H2" s="13">
        <v>30975.998899999999</v>
      </c>
    </row>
    <row r="3" spans="1:8" x14ac:dyDescent="0.2">
      <c r="A3" s="10" t="s">
        <v>250</v>
      </c>
      <c r="B3" s="10" t="s">
        <v>504</v>
      </c>
      <c r="D3" t="s">
        <v>378</v>
      </c>
      <c r="E3" t="s">
        <v>379</v>
      </c>
      <c r="G3" t="s">
        <v>514</v>
      </c>
      <c r="H3" s="13">
        <v>1679.32762</v>
      </c>
    </row>
    <row r="4" spans="1:8" x14ac:dyDescent="0.2">
      <c r="A4" s="10" t="s">
        <v>260</v>
      </c>
      <c r="B4" s="10" t="s">
        <v>504</v>
      </c>
      <c r="D4" t="s">
        <v>25</v>
      </c>
      <c r="E4" t="s">
        <v>379</v>
      </c>
      <c r="G4" t="s">
        <v>115</v>
      </c>
      <c r="H4" s="13">
        <v>357.26115299999998</v>
      </c>
    </row>
    <row r="5" spans="1:8" x14ac:dyDescent="0.2">
      <c r="A5" s="10" t="s">
        <v>264</v>
      </c>
      <c r="B5" s="10" t="s">
        <v>504</v>
      </c>
      <c r="D5" t="s">
        <v>27</v>
      </c>
      <c r="E5" t="s">
        <v>380</v>
      </c>
      <c r="G5" t="s">
        <v>515</v>
      </c>
      <c r="H5" s="13">
        <v>2138.4731499999998</v>
      </c>
    </row>
    <row r="6" spans="1:8" x14ac:dyDescent="0.2">
      <c r="A6" s="10" t="s">
        <v>268</v>
      </c>
      <c r="B6" s="10" t="s">
        <v>504</v>
      </c>
      <c r="D6" t="s">
        <v>381</v>
      </c>
      <c r="E6" t="s">
        <v>382</v>
      </c>
      <c r="G6" t="s">
        <v>386</v>
      </c>
      <c r="H6" s="13">
        <v>3682.1131500000001</v>
      </c>
    </row>
    <row r="7" spans="1:8" x14ac:dyDescent="0.2">
      <c r="A7" s="10" t="s">
        <v>270</v>
      </c>
      <c r="B7" s="10" t="s">
        <v>504</v>
      </c>
      <c r="D7" t="s">
        <v>384</v>
      </c>
      <c r="E7" t="s">
        <v>379</v>
      </c>
      <c r="G7" t="s">
        <v>25</v>
      </c>
      <c r="H7" s="13">
        <v>7756.9618899999996</v>
      </c>
    </row>
    <row r="8" spans="1:8" x14ac:dyDescent="0.2">
      <c r="A8" s="10" t="s">
        <v>476</v>
      </c>
      <c r="B8" s="10" t="s">
        <v>504</v>
      </c>
      <c r="D8" t="s">
        <v>386</v>
      </c>
      <c r="E8" t="s">
        <v>380</v>
      </c>
      <c r="G8" t="s">
        <v>384</v>
      </c>
      <c r="H8" s="13">
        <v>42414.048000000003</v>
      </c>
    </row>
    <row r="9" spans="1:8" x14ac:dyDescent="0.2">
      <c r="A9" s="10" t="s">
        <v>274</v>
      </c>
      <c r="B9" s="10" t="s">
        <v>504</v>
      </c>
      <c r="D9" t="s">
        <v>387</v>
      </c>
      <c r="E9" t="s">
        <v>388</v>
      </c>
      <c r="G9" t="s">
        <v>516</v>
      </c>
      <c r="H9" s="13">
        <v>7950.3558199999998</v>
      </c>
    </row>
    <row r="10" spans="1:8" x14ac:dyDescent="0.2">
      <c r="A10" s="10" t="s">
        <v>276</v>
      </c>
      <c r="B10" s="10" t="s">
        <v>504</v>
      </c>
      <c r="D10" t="s">
        <v>389</v>
      </c>
      <c r="E10" t="s">
        <v>377</v>
      </c>
      <c r="G10" t="s">
        <v>367</v>
      </c>
      <c r="H10" s="13">
        <v>50759.758900000001</v>
      </c>
    </row>
    <row r="11" spans="1:8" x14ac:dyDescent="0.2">
      <c r="A11" s="10" t="s">
        <v>278</v>
      </c>
      <c r="B11" s="10" t="s">
        <v>504</v>
      </c>
      <c r="D11" t="s">
        <v>391</v>
      </c>
      <c r="E11" t="s">
        <v>388</v>
      </c>
      <c r="G11" t="s">
        <v>245</v>
      </c>
      <c r="H11" s="13">
        <v>13962.189399999999</v>
      </c>
    </row>
    <row r="12" spans="1:8" x14ac:dyDescent="0.2">
      <c r="A12" s="10" t="s">
        <v>280</v>
      </c>
      <c r="B12" s="10" t="s">
        <v>504</v>
      </c>
      <c r="D12" t="s">
        <v>245</v>
      </c>
      <c r="E12" t="s">
        <v>388</v>
      </c>
      <c r="G12" t="s">
        <v>29</v>
      </c>
      <c r="H12" s="13">
        <v>6571.9744600000004</v>
      </c>
    </row>
    <row r="13" spans="1:8" x14ac:dyDescent="0.2">
      <c r="A13" s="10" t="s">
        <v>284</v>
      </c>
      <c r="B13" s="10" t="s">
        <v>504</v>
      </c>
      <c r="D13" t="s">
        <v>29</v>
      </c>
      <c r="E13" t="s">
        <v>376</v>
      </c>
      <c r="G13" t="s">
        <v>381</v>
      </c>
      <c r="H13" s="13">
        <v>18017.458900000001</v>
      </c>
    </row>
    <row r="14" spans="1:8" x14ac:dyDescent="0.2">
      <c r="A14" s="10" t="s">
        <v>286</v>
      </c>
      <c r="B14" s="10" t="s">
        <v>504</v>
      </c>
      <c r="D14" t="s">
        <v>393</v>
      </c>
      <c r="E14" t="s">
        <v>388</v>
      </c>
      <c r="G14" t="s">
        <v>391</v>
      </c>
      <c r="H14" s="13">
        <v>20105.198899999999</v>
      </c>
    </row>
    <row r="15" spans="1:8" x14ac:dyDescent="0.2">
      <c r="A15" s="10" t="s">
        <v>477</v>
      </c>
      <c r="B15" s="10" t="s">
        <v>504</v>
      </c>
      <c r="D15" t="s">
        <v>247</v>
      </c>
      <c r="E15" t="s">
        <v>382</v>
      </c>
      <c r="G15" t="s">
        <v>247</v>
      </c>
      <c r="H15" s="13">
        <v>65169.519099999998</v>
      </c>
    </row>
    <row r="16" spans="1:8" x14ac:dyDescent="0.2">
      <c r="A16" s="10" t="s">
        <v>294</v>
      </c>
      <c r="B16" s="10" t="s">
        <v>504</v>
      </c>
      <c r="D16" t="s">
        <v>249</v>
      </c>
      <c r="E16" t="s">
        <v>379</v>
      </c>
      <c r="G16" t="s">
        <v>249</v>
      </c>
      <c r="H16" s="13">
        <v>52336.772499999999</v>
      </c>
    </row>
    <row r="17" spans="1:8" x14ac:dyDescent="0.2">
      <c r="A17" s="10" t="s">
        <v>296</v>
      </c>
      <c r="B17" s="10" t="s">
        <v>504</v>
      </c>
      <c r="D17" t="s">
        <v>31</v>
      </c>
      <c r="E17" t="s">
        <v>376</v>
      </c>
      <c r="G17" t="s">
        <v>31</v>
      </c>
      <c r="H17" s="13">
        <v>7770.59422</v>
      </c>
    </row>
    <row r="18" spans="1:8" x14ac:dyDescent="0.2">
      <c r="A18" s="10" t="s">
        <v>298</v>
      </c>
      <c r="B18" s="10" t="s">
        <v>504</v>
      </c>
      <c r="D18" t="s">
        <v>251</v>
      </c>
      <c r="E18" t="s">
        <v>388</v>
      </c>
      <c r="G18" t="s">
        <v>121</v>
      </c>
      <c r="H18" s="13">
        <v>302.99250499999999</v>
      </c>
    </row>
    <row r="19" spans="1:8" x14ac:dyDescent="0.2">
      <c r="A19" s="10" t="s">
        <v>300</v>
      </c>
      <c r="B19" s="10" t="s">
        <v>504</v>
      </c>
      <c r="D19" t="s">
        <v>253</v>
      </c>
      <c r="E19" t="s">
        <v>376</v>
      </c>
      <c r="G19" t="s">
        <v>259</v>
      </c>
      <c r="H19" s="13">
        <v>50605.7497</v>
      </c>
    </row>
    <row r="20" spans="1:8" x14ac:dyDescent="0.2">
      <c r="A20" s="10" t="s">
        <v>302</v>
      </c>
      <c r="B20" s="10" t="s">
        <v>504</v>
      </c>
      <c r="D20" t="s">
        <v>171</v>
      </c>
      <c r="E20" t="s">
        <v>376</v>
      </c>
      <c r="G20" t="s">
        <v>117</v>
      </c>
      <c r="H20" s="13">
        <v>1266.4271100000001</v>
      </c>
    </row>
    <row r="21" spans="1:8" x14ac:dyDescent="0.2">
      <c r="A21" s="10" t="s">
        <v>478</v>
      </c>
      <c r="B21" s="10" t="s">
        <v>504</v>
      </c>
      <c r="D21" t="s">
        <v>255</v>
      </c>
      <c r="E21" t="s">
        <v>388</v>
      </c>
      <c r="G21" t="s">
        <v>119</v>
      </c>
      <c r="H21" s="13">
        <v>827.33084299999996</v>
      </c>
    </row>
    <row r="22" spans="1:8" x14ac:dyDescent="0.2">
      <c r="A22" s="10" t="s">
        <v>310</v>
      </c>
      <c r="B22" s="10" t="s">
        <v>504</v>
      </c>
      <c r="D22" t="s">
        <v>257</v>
      </c>
      <c r="E22" t="s">
        <v>379</v>
      </c>
      <c r="G22" t="s">
        <v>171</v>
      </c>
      <c r="H22" s="13">
        <v>2716.4859299999998</v>
      </c>
    </row>
    <row r="23" spans="1:8" x14ac:dyDescent="0.2">
      <c r="A23" s="10" t="s">
        <v>314</v>
      </c>
      <c r="B23" s="10" t="s">
        <v>504</v>
      </c>
      <c r="D23" t="s">
        <v>259</v>
      </c>
      <c r="E23" t="s">
        <v>379</v>
      </c>
      <c r="G23" t="s">
        <v>41</v>
      </c>
      <c r="H23" s="13">
        <v>13999.195</v>
      </c>
    </row>
    <row r="24" spans="1:8" x14ac:dyDescent="0.2">
      <c r="A24" s="10" t="s">
        <v>316</v>
      </c>
      <c r="B24" s="10" t="s">
        <v>504</v>
      </c>
      <c r="D24" t="s">
        <v>33</v>
      </c>
      <c r="E24" t="s">
        <v>388</v>
      </c>
      <c r="G24" t="s">
        <v>253</v>
      </c>
      <c r="H24" s="13">
        <v>30470.5219</v>
      </c>
    </row>
    <row r="25" spans="1:8" x14ac:dyDescent="0.2">
      <c r="A25" s="10" t="s">
        <v>479</v>
      </c>
      <c r="B25" s="10" t="s">
        <v>504</v>
      </c>
      <c r="D25" t="s">
        <v>117</v>
      </c>
      <c r="E25" t="s">
        <v>380</v>
      </c>
      <c r="G25" t="s">
        <v>251</v>
      </c>
      <c r="H25" s="13">
        <v>34957.1613</v>
      </c>
    </row>
    <row r="26" spans="1:8" x14ac:dyDescent="0.2">
      <c r="A26" s="10" t="s">
        <v>320</v>
      </c>
      <c r="B26" s="10" t="s">
        <v>504</v>
      </c>
      <c r="D26" t="s">
        <v>394</v>
      </c>
      <c r="E26" t="s">
        <v>388</v>
      </c>
      <c r="G26" t="s">
        <v>35</v>
      </c>
      <c r="H26" s="13">
        <v>7655.5942100000002</v>
      </c>
    </row>
    <row r="27" spans="1:8" x14ac:dyDescent="0.2">
      <c r="A27" s="10" t="s">
        <v>480</v>
      </c>
      <c r="B27" s="10" t="s">
        <v>504</v>
      </c>
      <c r="D27" t="s">
        <v>396</v>
      </c>
      <c r="E27" t="s">
        <v>376</v>
      </c>
      <c r="G27" t="s">
        <v>257</v>
      </c>
      <c r="H27" s="13">
        <v>7994.6480600000004</v>
      </c>
    </row>
    <row r="28" spans="1:8" x14ac:dyDescent="0.2">
      <c r="A28" s="10" t="s">
        <v>324</v>
      </c>
      <c r="B28" s="10" t="s">
        <v>504</v>
      </c>
      <c r="D28" t="s">
        <v>173</v>
      </c>
      <c r="E28" t="s">
        <v>388</v>
      </c>
      <c r="G28" t="s">
        <v>33</v>
      </c>
      <c r="H28" s="13">
        <v>7068.2172799999998</v>
      </c>
    </row>
    <row r="29" spans="1:8" x14ac:dyDescent="0.2">
      <c r="A29" s="10" t="s">
        <v>326</v>
      </c>
      <c r="B29" s="10" t="s">
        <v>504</v>
      </c>
      <c r="D29" t="s">
        <v>397</v>
      </c>
      <c r="E29" t="s">
        <v>388</v>
      </c>
      <c r="G29" t="s">
        <v>394</v>
      </c>
      <c r="H29" s="13">
        <v>121613.94</v>
      </c>
    </row>
    <row r="30" spans="1:8" x14ac:dyDescent="0.2">
      <c r="A30" s="10" t="s">
        <v>334</v>
      </c>
      <c r="B30" s="10" t="s">
        <v>504</v>
      </c>
      <c r="D30" t="s">
        <v>35</v>
      </c>
      <c r="E30" t="s">
        <v>379</v>
      </c>
      <c r="G30" t="s">
        <v>173</v>
      </c>
      <c r="H30" s="13">
        <v>4219.4611400000003</v>
      </c>
    </row>
    <row r="31" spans="1:8" x14ac:dyDescent="0.2">
      <c r="A31" s="10" t="s">
        <v>447</v>
      </c>
      <c r="B31" s="10" t="s">
        <v>504</v>
      </c>
      <c r="D31" t="s">
        <v>37</v>
      </c>
      <c r="E31" t="s">
        <v>380</v>
      </c>
      <c r="G31" t="s">
        <v>39</v>
      </c>
      <c r="H31" s="13">
        <v>9281.3328199999996</v>
      </c>
    </row>
    <row r="32" spans="1:8" x14ac:dyDescent="0.2">
      <c r="A32" s="10" t="s">
        <v>342</v>
      </c>
      <c r="B32" s="10" t="s">
        <v>504</v>
      </c>
      <c r="D32" t="s">
        <v>398</v>
      </c>
      <c r="E32" t="s">
        <v>388</v>
      </c>
      <c r="G32" t="s">
        <v>255</v>
      </c>
      <c r="H32" s="13">
        <v>24387.038700000001</v>
      </c>
    </row>
    <row r="33" spans="1:8" x14ac:dyDescent="0.2">
      <c r="A33" s="10" t="s">
        <v>350</v>
      </c>
      <c r="B33" s="10" t="s">
        <v>504</v>
      </c>
      <c r="D33" t="s">
        <v>39</v>
      </c>
      <c r="E33" t="s">
        <v>388</v>
      </c>
      <c r="G33" t="s">
        <v>261</v>
      </c>
      <c r="H33" s="13">
        <v>36632.928099999997</v>
      </c>
    </row>
    <row r="34" spans="1:8" x14ac:dyDescent="0.2">
      <c r="A34" s="10" t="s">
        <v>481</v>
      </c>
      <c r="B34" s="10" t="s">
        <v>504</v>
      </c>
      <c r="D34" t="s">
        <v>399</v>
      </c>
      <c r="E34" t="s">
        <v>380</v>
      </c>
      <c r="G34" t="s">
        <v>396</v>
      </c>
      <c r="H34" s="13">
        <v>3711.3276799999999</v>
      </c>
    </row>
    <row r="35" spans="1:8" x14ac:dyDescent="0.2">
      <c r="A35" s="10" t="s">
        <v>354</v>
      </c>
      <c r="B35" s="10" t="s">
        <v>504</v>
      </c>
      <c r="D35" t="s">
        <v>261</v>
      </c>
      <c r="E35" t="s">
        <v>376</v>
      </c>
      <c r="G35" t="s">
        <v>37</v>
      </c>
      <c r="H35" s="13">
        <v>8328.7090599999992</v>
      </c>
    </row>
    <row r="36" spans="1:8" x14ac:dyDescent="0.2">
      <c r="A36" s="10" t="s">
        <v>356</v>
      </c>
      <c r="B36" s="10" t="s">
        <v>504</v>
      </c>
      <c r="D36" t="s">
        <v>41</v>
      </c>
      <c r="E36" t="s">
        <v>379</v>
      </c>
      <c r="G36" t="s">
        <v>123</v>
      </c>
      <c r="H36" s="13">
        <v>467.359825</v>
      </c>
    </row>
    <row r="37" spans="1:8" x14ac:dyDescent="0.2">
      <c r="A37" s="10" t="s">
        <v>358</v>
      </c>
      <c r="B37" s="10" t="s">
        <v>504</v>
      </c>
      <c r="D37" t="s">
        <v>119</v>
      </c>
      <c r="E37" t="s">
        <v>380</v>
      </c>
      <c r="G37" t="s">
        <v>263</v>
      </c>
      <c r="H37" s="13">
        <v>56256.8007</v>
      </c>
    </row>
    <row r="38" spans="1:8" x14ac:dyDescent="0.2">
      <c r="A38" s="10" t="s">
        <v>360</v>
      </c>
      <c r="B38" s="10" t="s">
        <v>504</v>
      </c>
      <c r="D38" t="s">
        <v>121</v>
      </c>
      <c r="E38" t="s">
        <v>380</v>
      </c>
      <c r="G38" t="s">
        <v>517</v>
      </c>
      <c r="H38" s="13">
        <v>19530.155299999999</v>
      </c>
    </row>
    <row r="39" spans="1:8" x14ac:dyDescent="0.2">
      <c r="A39" s="10" t="s">
        <v>482</v>
      </c>
      <c r="B39" s="10" t="s">
        <v>504</v>
      </c>
      <c r="D39" t="s">
        <v>175</v>
      </c>
      <c r="E39" t="s">
        <v>380</v>
      </c>
      <c r="G39" t="s">
        <v>359</v>
      </c>
      <c r="H39" s="13">
        <v>94394.510699999999</v>
      </c>
    </row>
    <row r="40" spans="1:8" x14ac:dyDescent="0.2">
      <c r="A40" s="10" t="s">
        <v>370</v>
      </c>
      <c r="B40" s="10" t="s">
        <v>504</v>
      </c>
      <c r="D40" t="s">
        <v>177</v>
      </c>
      <c r="E40" t="s">
        <v>376</v>
      </c>
      <c r="G40" t="s">
        <v>518</v>
      </c>
      <c r="H40" s="13">
        <v>67627.141699999993</v>
      </c>
    </row>
    <row r="41" spans="1:8" x14ac:dyDescent="0.2">
      <c r="A41" s="10" t="s">
        <v>372</v>
      </c>
      <c r="B41" s="10" t="s">
        <v>504</v>
      </c>
      <c r="D41" t="s">
        <v>179</v>
      </c>
      <c r="E41" t="s">
        <v>380</v>
      </c>
      <c r="G41" t="s">
        <v>291</v>
      </c>
      <c r="H41" s="13">
        <v>15405.616599999999</v>
      </c>
    </row>
    <row r="42" spans="1:8" x14ac:dyDescent="0.2">
      <c r="A42" s="10" t="s">
        <v>116</v>
      </c>
      <c r="B42" s="10" t="s">
        <v>505</v>
      </c>
      <c r="D42" t="s">
        <v>263</v>
      </c>
      <c r="E42" t="s">
        <v>388</v>
      </c>
      <c r="G42" t="s">
        <v>61</v>
      </c>
      <c r="H42" s="13">
        <v>12970.605600000001</v>
      </c>
    </row>
    <row r="43" spans="1:8" x14ac:dyDescent="0.2">
      <c r="A43" s="10" t="s">
        <v>26</v>
      </c>
      <c r="B43" s="10" t="s">
        <v>505</v>
      </c>
      <c r="D43" t="s">
        <v>400</v>
      </c>
      <c r="E43" t="s">
        <v>388</v>
      </c>
      <c r="G43" t="s">
        <v>127</v>
      </c>
      <c r="H43" s="13">
        <v>2333.3712799999998</v>
      </c>
    </row>
    <row r="44" spans="1:8" x14ac:dyDescent="0.2">
      <c r="A44" s="10" t="s">
        <v>28</v>
      </c>
      <c r="B44" s="10" t="s">
        <v>505</v>
      </c>
      <c r="D44" t="s">
        <v>123</v>
      </c>
      <c r="E44" t="s">
        <v>380</v>
      </c>
      <c r="G44" t="s">
        <v>179</v>
      </c>
      <c r="H44" s="13">
        <v>1604.87727</v>
      </c>
    </row>
    <row r="45" spans="1:8" x14ac:dyDescent="0.2">
      <c r="A45" s="10" t="s">
        <v>385</v>
      </c>
      <c r="B45" s="10" t="s">
        <v>505</v>
      </c>
      <c r="D45" t="s">
        <v>137</v>
      </c>
      <c r="E45" t="s">
        <v>380</v>
      </c>
      <c r="G45" t="s">
        <v>125</v>
      </c>
      <c r="H45" s="13">
        <v>687.73858800000005</v>
      </c>
    </row>
    <row r="46" spans="1:8" x14ac:dyDescent="0.2">
      <c r="A46" s="10" t="s">
        <v>390</v>
      </c>
      <c r="B46" s="10" t="s">
        <v>505</v>
      </c>
      <c r="D46" t="s">
        <v>291</v>
      </c>
      <c r="E46" t="s">
        <v>388</v>
      </c>
      <c r="G46" t="s">
        <v>183</v>
      </c>
      <c r="H46" s="13">
        <v>2620.8380400000001</v>
      </c>
    </row>
    <row r="47" spans="1:8" x14ac:dyDescent="0.2">
      <c r="A47" s="10" t="s">
        <v>246</v>
      </c>
      <c r="B47" s="10" t="s">
        <v>505</v>
      </c>
      <c r="D47" t="s">
        <v>61</v>
      </c>
      <c r="E47" t="s">
        <v>376</v>
      </c>
      <c r="G47" t="s">
        <v>43</v>
      </c>
      <c r="H47" s="13">
        <v>6680.4450699999998</v>
      </c>
    </row>
    <row r="48" spans="1:8" x14ac:dyDescent="0.2">
      <c r="A48" s="10" t="s">
        <v>30</v>
      </c>
      <c r="B48" s="10" t="s">
        <v>505</v>
      </c>
      <c r="D48" t="s">
        <v>401</v>
      </c>
      <c r="E48" t="s">
        <v>382</v>
      </c>
      <c r="G48" t="s">
        <v>181</v>
      </c>
      <c r="H48" s="13">
        <v>1465.47964</v>
      </c>
    </row>
    <row r="49" spans="1:8" x14ac:dyDescent="0.2">
      <c r="A49" s="10" t="s">
        <v>392</v>
      </c>
      <c r="B49" s="10" t="s">
        <v>505</v>
      </c>
      <c r="D49" t="s">
        <v>402</v>
      </c>
      <c r="E49" t="s">
        <v>382</v>
      </c>
      <c r="G49" t="s">
        <v>175</v>
      </c>
      <c r="H49" s="13">
        <v>4323.3136199999999</v>
      </c>
    </row>
    <row r="50" spans="1:8" x14ac:dyDescent="0.2">
      <c r="A50" s="10" t="s">
        <v>32</v>
      </c>
      <c r="B50" s="10" t="s">
        <v>505</v>
      </c>
      <c r="D50" t="s">
        <v>43</v>
      </c>
      <c r="E50" t="s">
        <v>388</v>
      </c>
      <c r="G50" t="s">
        <v>265</v>
      </c>
      <c r="H50" s="13">
        <v>13625.900799999999</v>
      </c>
    </row>
    <row r="51" spans="1:8" x14ac:dyDescent="0.2">
      <c r="A51" s="10" t="s">
        <v>483</v>
      </c>
      <c r="B51" s="10" t="s">
        <v>505</v>
      </c>
      <c r="D51" t="s">
        <v>181</v>
      </c>
      <c r="E51" t="s">
        <v>380</v>
      </c>
      <c r="G51" t="s">
        <v>519</v>
      </c>
      <c r="H51" s="13">
        <v>17456.308499999999</v>
      </c>
    </row>
    <row r="52" spans="1:8" x14ac:dyDescent="0.2">
      <c r="A52" s="10" t="s">
        <v>254</v>
      </c>
      <c r="B52" s="10" t="s">
        <v>505</v>
      </c>
      <c r="D52" t="s">
        <v>183</v>
      </c>
      <c r="E52" t="s">
        <v>380</v>
      </c>
      <c r="G52" t="s">
        <v>45</v>
      </c>
      <c r="H52" s="13"/>
    </row>
    <row r="53" spans="1:8" x14ac:dyDescent="0.2">
      <c r="A53" s="10" t="s">
        <v>172</v>
      </c>
      <c r="B53" s="10" t="s">
        <v>505</v>
      </c>
      <c r="D53" t="s">
        <v>125</v>
      </c>
      <c r="E53" t="s">
        <v>380</v>
      </c>
      <c r="G53" t="s">
        <v>404</v>
      </c>
      <c r="H53" s="13">
        <v>20057.140500000001</v>
      </c>
    </row>
    <row r="54" spans="1:8" x14ac:dyDescent="0.2">
      <c r="A54" s="10" t="s">
        <v>256</v>
      </c>
      <c r="B54" s="10" t="s">
        <v>505</v>
      </c>
      <c r="D54" t="s">
        <v>403</v>
      </c>
      <c r="E54" t="s">
        <v>382</v>
      </c>
      <c r="G54" t="s">
        <v>400</v>
      </c>
      <c r="H54" s="13">
        <v>93030.705100000006</v>
      </c>
    </row>
    <row r="55" spans="1:8" x14ac:dyDescent="0.2">
      <c r="A55" s="10" t="s">
        <v>258</v>
      </c>
      <c r="B55" s="10" t="s">
        <v>505</v>
      </c>
      <c r="D55" t="s">
        <v>265</v>
      </c>
      <c r="E55" t="s">
        <v>388</v>
      </c>
      <c r="G55" t="s">
        <v>269</v>
      </c>
      <c r="H55" s="13">
        <v>33231.042999999998</v>
      </c>
    </row>
    <row r="56" spans="1:8" x14ac:dyDescent="0.2">
      <c r="A56" s="10" t="s">
        <v>34</v>
      </c>
      <c r="B56" s="10" t="s">
        <v>505</v>
      </c>
      <c r="D56" t="s">
        <v>127</v>
      </c>
      <c r="E56" t="s">
        <v>380</v>
      </c>
      <c r="G56" t="s">
        <v>271</v>
      </c>
      <c r="H56" s="13">
        <v>28282.223699999999</v>
      </c>
    </row>
    <row r="57" spans="1:8" x14ac:dyDescent="0.2">
      <c r="A57" s="10" t="s">
        <v>118</v>
      </c>
      <c r="B57" s="10" t="s">
        <v>505</v>
      </c>
      <c r="D57" t="s">
        <v>267</v>
      </c>
      <c r="E57" t="s">
        <v>379</v>
      </c>
      <c r="G57" t="s">
        <v>283</v>
      </c>
      <c r="H57" s="13">
        <v>50506.517999999996</v>
      </c>
    </row>
    <row r="58" spans="1:8" x14ac:dyDescent="0.2">
      <c r="A58" s="10" t="s">
        <v>395</v>
      </c>
      <c r="B58" s="10" t="s">
        <v>505</v>
      </c>
      <c r="D58" t="s">
        <v>45</v>
      </c>
      <c r="E58" t="s">
        <v>388</v>
      </c>
      <c r="G58" t="s">
        <v>129</v>
      </c>
      <c r="H58" s="13">
        <v>3133.2577999999999</v>
      </c>
    </row>
    <row r="59" spans="1:8" x14ac:dyDescent="0.2">
      <c r="A59" s="10" t="s">
        <v>484</v>
      </c>
      <c r="B59" s="10" t="s">
        <v>505</v>
      </c>
      <c r="D59" t="s">
        <v>404</v>
      </c>
      <c r="E59" t="s">
        <v>388</v>
      </c>
      <c r="G59" t="s">
        <v>47</v>
      </c>
      <c r="H59" s="13">
        <v>9323.6608899999992</v>
      </c>
    </row>
    <row r="60" spans="1:8" x14ac:dyDescent="0.2">
      <c r="A60" s="10" t="s">
        <v>36</v>
      </c>
      <c r="B60" s="10" t="s">
        <v>505</v>
      </c>
      <c r="D60" t="s">
        <v>269</v>
      </c>
      <c r="E60" t="s">
        <v>376</v>
      </c>
      <c r="G60" t="s">
        <v>273</v>
      </c>
      <c r="H60" s="13">
        <v>67781.094100000002</v>
      </c>
    </row>
    <row r="61" spans="1:8" x14ac:dyDescent="0.2">
      <c r="A61" s="10" t="s">
        <v>38</v>
      </c>
      <c r="B61" s="10" t="s">
        <v>505</v>
      </c>
      <c r="D61" t="s">
        <v>271</v>
      </c>
      <c r="E61" t="s">
        <v>379</v>
      </c>
      <c r="G61" t="s">
        <v>49</v>
      </c>
      <c r="H61" s="13">
        <v>10104.2449</v>
      </c>
    </row>
    <row r="62" spans="1:8" x14ac:dyDescent="0.2">
      <c r="A62" s="10" t="s">
        <v>40</v>
      </c>
      <c r="B62" s="10" t="s">
        <v>505</v>
      </c>
      <c r="D62" t="s">
        <v>273</v>
      </c>
      <c r="E62" t="s">
        <v>379</v>
      </c>
      <c r="G62" t="s">
        <v>27</v>
      </c>
      <c r="H62" s="13">
        <v>4960.3033400000004</v>
      </c>
    </row>
    <row r="63" spans="1:8" x14ac:dyDescent="0.2">
      <c r="A63" s="10" t="s">
        <v>262</v>
      </c>
      <c r="B63" s="10" t="s">
        <v>505</v>
      </c>
      <c r="D63" t="s">
        <v>129</v>
      </c>
      <c r="E63" t="s">
        <v>380</v>
      </c>
      <c r="G63" t="s">
        <v>520</v>
      </c>
      <c r="H63" s="13">
        <v>10106.9936</v>
      </c>
    </row>
    <row r="64" spans="1:8" x14ac:dyDescent="0.2">
      <c r="A64" s="10" t="s">
        <v>42</v>
      </c>
      <c r="B64" s="10" t="s">
        <v>505</v>
      </c>
      <c r="D64" t="s">
        <v>47</v>
      </c>
      <c r="E64" t="s">
        <v>388</v>
      </c>
      <c r="G64" t="s">
        <v>521</v>
      </c>
      <c r="H64" s="13">
        <v>4043.8277600000001</v>
      </c>
    </row>
    <row r="65" spans="1:8" x14ac:dyDescent="0.2">
      <c r="A65" s="10" t="s">
        <v>120</v>
      </c>
      <c r="B65" s="10" t="s">
        <v>505</v>
      </c>
      <c r="D65" t="s">
        <v>49</v>
      </c>
      <c r="E65" t="s">
        <v>388</v>
      </c>
      <c r="G65" t="s">
        <v>522</v>
      </c>
      <c r="H65" s="13">
        <v>13139.210999999999</v>
      </c>
    </row>
    <row r="66" spans="1:8" x14ac:dyDescent="0.2">
      <c r="A66" s="10" t="s">
        <v>122</v>
      </c>
      <c r="B66" s="10" t="s">
        <v>505</v>
      </c>
      <c r="D66" t="s">
        <v>51</v>
      </c>
      <c r="E66" t="s">
        <v>388</v>
      </c>
      <c r="G66" t="s">
        <v>523</v>
      </c>
      <c r="H66" s="13">
        <v>7266.02243</v>
      </c>
    </row>
    <row r="67" spans="1:8" x14ac:dyDescent="0.2">
      <c r="A67" s="10" t="s">
        <v>176</v>
      </c>
      <c r="B67" s="10" t="s">
        <v>505</v>
      </c>
      <c r="D67" t="s">
        <v>53</v>
      </c>
      <c r="E67" t="s">
        <v>380</v>
      </c>
      <c r="G67" t="s">
        <v>524</v>
      </c>
      <c r="H67" s="13">
        <v>27913.588199999998</v>
      </c>
    </row>
    <row r="68" spans="1:8" x14ac:dyDescent="0.2">
      <c r="A68" s="10" t="s">
        <v>178</v>
      </c>
      <c r="B68" s="10" t="s">
        <v>505</v>
      </c>
      <c r="D68" t="s">
        <v>185</v>
      </c>
      <c r="E68" t="s">
        <v>388</v>
      </c>
      <c r="G68" t="s">
        <v>51</v>
      </c>
      <c r="H68" s="13">
        <v>6515.5852800000002</v>
      </c>
    </row>
    <row r="69" spans="1:8" x14ac:dyDescent="0.2">
      <c r="A69" s="10" t="s">
        <v>180</v>
      </c>
      <c r="B69" s="10" t="s">
        <v>505</v>
      </c>
      <c r="D69" t="s">
        <v>187</v>
      </c>
      <c r="E69" t="s">
        <v>380</v>
      </c>
      <c r="G69" t="s">
        <v>53</v>
      </c>
      <c r="H69" s="13">
        <v>4233.3078400000004</v>
      </c>
    </row>
    <row r="70" spans="1:8" x14ac:dyDescent="0.2">
      <c r="A70" s="10" t="s">
        <v>124</v>
      </c>
      <c r="B70" s="10" t="s">
        <v>505</v>
      </c>
      <c r="D70" t="s">
        <v>406</v>
      </c>
      <c r="E70" t="s">
        <v>380</v>
      </c>
      <c r="G70" t="s">
        <v>525</v>
      </c>
      <c r="H70" s="13">
        <v>41608.712299999999</v>
      </c>
    </row>
    <row r="71" spans="1:8" x14ac:dyDescent="0.2">
      <c r="A71" s="10" t="s">
        <v>138</v>
      </c>
      <c r="B71" s="10" t="s">
        <v>505</v>
      </c>
      <c r="D71" t="s">
        <v>275</v>
      </c>
      <c r="E71" t="s">
        <v>379</v>
      </c>
      <c r="G71" t="s">
        <v>406</v>
      </c>
      <c r="H71" s="13"/>
    </row>
    <row r="72" spans="1:8" x14ac:dyDescent="0.2">
      <c r="A72" s="10" t="s">
        <v>292</v>
      </c>
      <c r="B72" s="10" t="s">
        <v>505</v>
      </c>
      <c r="D72" t="s">
        <v>189</v>
      </c>
      <c r="E72" t="s">
        <v>380</v>
      </c>
      <c r="G72" t="s">
        <v>355</v>
      </c>
      <c r="H72" s="13">
        <v>30319.4987</v>
      </c>
    </row>
    <row r="73" spans="1:8" x14ac:dyDescent="0.2">
      <c r="A73" s="10" t="s">
        <v>62</v>
      </c>
      <c r="B73" s="10" t="s">
        <v>505</v>
      </c>
      <c r="D73" t="s">
        <v>131</v>
      </c>
      <c r="E73" t="s">
        <v>380</v>
      </c>
      <c r="G73" t="s">
        <v>275</v>
      </c>
      <c r="H73" s="13">
        <v>28340.382699999998</v>
      </c>
    </row>
    <row r="74" spans="1:8" x14ac:dyDescent="0.2">
      <c r="A74" s="10" t="s">
        <v>44</v>
      </c>
      <c r="B74" s="10" t="s">
        <v>505</v>
      </c>
      <c r="D74" t="s">
        <v>408</v>
      </c>
      <c r="E74" t="s">
        <v>388</v>
      </c>
      <c r="G74" t="s">
        <v>131</v>
      </c>
      <c r="H74" s="13">
        <v>982.103162</v>
      </c>
    </row>
    <row r="75" spans="1:8" x14ac:dyDescent="0.2">
      <c r="A75" s="10" t="s">
        <v>182</v>
      </c>
      <c r="B75" s="10" t="s">
        <v>505</v>
      </c>
      <c r="D75" t="s">
        <v>409</v>
      </c>
      <c r="E75" t="s">
        <v>379</v>
      </c>
      <c r="G75" t="s">
        <v>526</v>
      </c>
      <c r="H75" s="13">
        <v>38066.8845</v>
      </c>
    </row>
    <row r="76" spans="1:8" x14ac:dyDescent="0.2">
      <c r="A76" s="10" t="s">
        <v>485</v>
      </c>
      <c r="B76" s="10" t="s">
        <v>505</v>
      </c>
      <c r="D76" t="s">
        <v>55</v>
      </c>
      <c r="E76" t="s">
        <v>382</v>
      </c>
      <c r="G76" t="s">
        <v>527</v>
      </c>
      <c r="H76" s="13">
        <v>1850.91743</v>
      </c>
    </row>
    <row r="77" spans="1:8" x14ac:dyDescent="0.2">
      <c r="A77" s="10" t="s">
        <v>486</v>
      </c>
      <c r="B77" s="10" t="s">
        <v>505</v>
      </c>
      <c r="D77" t="s">
        <v>277</v>
      </c>
      <c r="E77" t="s">
        <v>379</v>
      </c>
      <c r="G77" t="s">
        <v>277</v>
      </c>
      <c r="H77" s="13">
        <v>50440.5602</v>
      </c>
    </row>
    <row r="78" spans="1:8" x14ac:dyDescent="0.2">
      <c r="A78" s="10" t="s">
        <v>487</v>
      </c>
      <c r="B78" s="10" t="s">
        <v>505</v>
      </c>
      <c r="D78" t="s">
        <v>279</v>
      </c>
      <c r="E78" t="s">
        <v>379</v>
      </c>
      <c r="G78" t="s">
        <v>55</v>
      </c>
      <c r="H78" s="13">
        <v>5414.1209200000003</v>
      </c>
    </row>
    <row r="79" spans="1:8" x14ac:dyDescent="0.2">
      <c r="A79" s="10" t="s">
        <v>266</v>
      </c>
      <c r="B79" s="10" t="s">
        <v>505</v>
      </c>
      <c r="D79" t="s">
        <v>410</v>
      </c>
      <c r="E79" t="s">
        <v>388</v>
      </c>
      <c r="G79" t="s">
        <v>279</v>
      </c>
      <c r="H79" s="13">
        <v>40988.639600000002</v>
      </c>
    </row>
    <row r="80" spans="1:8" x14ac:dyDescent="0.2">
      <c r="A80" s="10" t="s">
        <v>128</v>
      </c>
      <c r="B80" s="10" t="s">
        <v>505</v>
      </c>
      <c r="D80" t="s">
        <v>411</v>
      </c>
      <c r="E80" t="s">
        <v>382</v>
      </c>
      <c r="G80" t="s">
        <v>409</v>
      </c>
      <c r="H80" s="13">
        <v>67058.202300000004</v>
      </c>
    </row>
    <row r="81" spans="1:8" x14ac:dyDescent="0.2">
      <c r="A81" s="10" t="s">
        <v>130</v>
      </c>
      <c r="B81" s="10" t="s">
        <v>505</v>
      </c>
      <c r="D81" t="s">
        <v>412</v>
      </c>
      <c r="E81" t="s">
        <v>380</v>
      </c>
      <c r="G81" t="s">
        <v>211</v>
      </c>
      <c r="H81" s="13">
        <v>3710.1245199999998</v>
      </c>
    </row>
    <row r="82" spans="1:8" x14ac:dyDescent="0.2">
      <c r="A82" s="10" t="s">
        <v>48</v>
      </c>
      <c r="B82" s="10" t="s">
        <v>505</v>
      </c>
      <c r="D82" t="s">
        <v>191</v>
      </c>
      <c r="E82" t="s">
        <v>380</v>
      </c>
      <c r="G82" t="s">
        <v>191</v>
      </c>
      <c r="H82" s="13">
        <v>8409.2074100000009</v>
      </c>
    </row>
    <row r="83" spans="1:8" x14ac:dyDescent="0.2">
      <c r="A83" s="10" t="s">
        <v>50</v>
      </c>
      <c r="B83" s="10" t="s">
        <v>505</v>
      </c>
      <c r="D83" t="s">
        <v>133</v>
      </c>
      <c r="E83" t="s">
        <v>380</v>
      </c>
      <c r="G83" t="s">
        <v>369</v>
      </c>
      <c r="H83" s="13">
        <v>47057.0432</v>
      </c>
    </row>
    <row r="84" spans="1:8" x14ac:dyDescent="0.2">
      <c r="A84" s="10" t="s">
        <v>52</v>
      </c>
      <c r="B84" s="10" t="s">
        <v>505</v>
      </c>
      <c r="D84" t="s">
        <v>281</v>
      </c>
      <c r="E84" t="s">
        <v>376</v>
      </c>
      <c r="G84" t="s">
        <v>281</v>
      </c>
      <c r="H84" s="13">
        <v>6729.8465999999999</v>
      </c>
    </row>
    <row r="85" spans="1:8" x14ac:dyDescent="0.2">
      <c r="A85" s="10" t="s">
        <v>54</v>
      </c>
      <c r="B85" s="10" t="s">
        <v>505</v>
      </c>
      <c r="D85" t="s">
        <v>283</v>
      </c>
      <c r="E85" t="s">
        <v>379</v>
      </c>
      <c r="G85" t="s">
        <v>193</v>
      </c>
      <c r="H85" s="13">
        <v>2229.8912300000002</v>
      </c>
    </row>
    <row r="86" spans="1:8" x14ac:dyDescent="0.2">
      <c r="A86" s="10" t="s">
        <v>186</v>
      </c>
      <c r="B86" s="10" t="s">
        <v>505</v>
      </c>
      <c r="D86" t="s">
        <v>193</v>
      </c>
      <c r="E86" t="s">
        <v>380</v>
      </c>
      <c r="G86" t="s">
        <v>413</v>
      </c>
      <c r="H86" s="13"/>
    </row>
    <row r="87" spans="1:8" x14ac:dyDescent="0.2">
      <c r="A87" s="10" t="s">
        <v>188</v>
      </c>
      <c r="B87" s="10" t="s">
        <v>505</v>
      </c>
      <c r="D87" t="s">
        <v>413</v>
      </c>
      <c r="E87" t="s">
        <v>379</v>
      </c>
      <c r="G87" t="s">
        <v>135</v>
      </c>
      <c r="H87" s="13">
        <v>1416.5961199999999</v>
      </c>
    </row>
    <row r="88" spans="1:8" x14ac:dyDescent="0.2">
      <c r="A88" s="10" t="s">
        <v>405</v>
      </c>
      <c r="B88" s="10" t="s">
        <v>505</v>
      </c>
      <c r="D88" t="s">
        <v>285</v>
      </c>
      <c r="E88" t="s">
        <v>379</v>
      </c>
      <c r="G88" t="s">
        <v>133</v>
      </c>
      <c r="H88" s="13">
        <v>836.24487599999998</v>
      </c>
    </row>
    <row r="89" spans="1:8" x14ac:dyDescent="0.2">
      <c r="A89" s="10" t="s">
        <v>407</v>
      </c>
      <c r="B89" s="10" t="s">
        <v>505</v>
      </c>
      <c r="D89" t="s">
        <v>414</v>
      </c>
      <c r="E89" t="s">
        <v>388</v>
      </c>
      <c r="G89" t="s">
        <v>420</v>
      </c>
      <c r="H89" s="13">
        <v>883.19913099999997</v>
      </c>
    </row>
    <row r="90" spans="1:8" x14ac:dyDescent="0.2">
      <c r="A90" s="10" t="s">
        <v>132</v>
      </c>
      <c r="B90" s="10" t="s">
        <v>505</v>
      </c>
      <c r="D90" t="s">
        <v>57</v>
      </c>
      <c r="E90" t="s">
        <v>388</v>
      </c>
      <c r="G90" t="s">
        <v>187</v>
      </c>
      <c r="H90" s="13">
        <v>7589.2996499999999</v>
      </c>
    </row>
    <row r="91" spans="1:8" x14ac:dyDescent="0.2">
      <c r="A91" s="10" t="s">
        <v>56</v>
      </c>
      <c r="B91" s="10" t="s">
        <v>505</v>
      </c>
      <c r="D91" t="s">
        <v>415</v>
      </c>
      <c r="E91" t="s">
        <v>388</v>
      </c>
      <c r="G91" t="s">
        <v>285</v>
      </c>
      <c r="H91" s="13">
        <v>20886.524300000001</v>
      </c>
    </row>
    <row r="92" spans="1:8" x14ac:dyDescent="0.2">
      <c r="A92" s="10" t="s">
        <v>192</v>
      </c>
      <c r="B92" s="10" t="s">
        <v>505</v>
      </c>
      <c r="D92" t="s">
        <v>416</v>
      </c>
      <c r="E92" t="s">
        <v>382</v>
      </c>
      <c r="G92" t="s">
        <v>57</v>
      </c>
      <c r="H92" s="13">
        <v>10469.386699999999</v>
      </c>
    </row>
    <row r="93" spans="1:8" x14ac:dyDescent="0.2">
      <c r="A93" s="10" t="s">
        <v>488</v>
      </c>
      <c r="B93" s="10" t="s">
        <v>505</v>
      </c>
      <c r="D93" t="s">
        <v>195</v>
      </c>
      <c r="E93" t="s">
        <v>388</v>
      </c>
      <c r="G93" t="s">
        <v>414</v>
      </c>
      <c r="H93" s="13">
        <v>55635.000599999999</v>
      </c>
    </row>
    <row r="94" spans="1:8" x14ac:dyDescent="0.2">
      <c r="A94" s="10" t="s">
        <v>282</v>
      </c>
      <c r="B94" s="10" t="s">
        <v>505</v>
      </c>
      <c r="D94" t="s">
        <v>418</v>
      </c>
      <c r="E94" t="s">
        <v>379</v>
      </c>
      <c r="G94" t="s">
        <v>195</v>
      </c>
      <c r="H94" s="13">
        <v>5358.7015700000002</v>
      </c>
    </row>
    <row r="95" spans="1:8" x14ac:dyDescent="0.2">
      <c r="A95" s="10" t="s">
        <v>194</v>
      </c>
      <c r="B95" s="10" t="s">
        <v>505</v>
      </c>
      <c r="D95" t="s">
        <v>135</v>
      </c>
      <c r="E95" t="s">
        <v>380</v>
      </c>
      <c r="G95" t="s">
        <v>416</v>
      </c>
      <c r="H95" s="13">
        <v>41833.151700000002</v>
      </c>
    </row>
    <row r="96" spans="1:8" x14ac:dyDescent="0.2">
      <c r="A96" s="10" t="s">
        <v>58</v>
      </c>
      <c r="B96" s="10" t="s">
        <v>505</v>
      </c>
      <c r="D96" t="s">
        <v>420</v>
      </c>
      <c r="E96" t="s">
        <v>380</v>
      </c>
      <c r="G96" t="s">
        <v>59</v>
      </c>
      <c r="H96" s="13">
        <v>17913.4928</v>
      </c>
    </row>
    <row r="97" spans="1:8" x14ac:dyDescent="0.2">
      <c r="A97" s="10" t="s">
        <v>196</v>
      </c>
      <c r="B97" s="10" t="s">
        <v>505</v>
      </c>
      <c r="D97" t="s">
        <v>59</v>
      </c>
      <c r="E97" t="s">
        <v>388</v>
      </c>
      <c r="G97" t="s">
        <v>528</v>
      </c>
      <c r="H97" s="13">
        <v>46553.114999999998</v>
      </c>
    </row>
    <row r="98" spans="1:8" x14ac:dyDescent="0.2">
      <c r="A98" s="10" t="s">
        <v>136</v>
      </c>
      <c r="B98" s="10" t="s">
        <v>505</v>
      </c>
      <c r="D98" t="s">
        <v>197</v>
      </c>
      <c r="E98" t="s">
        <v>388</v>
      </c>
      <c r="G98" t="s">
        <v>287</v>
      </c>
      <c r="H98" s="13">
        <v>48825.8442</v>
      </c>
    </row>
    <row r="99" spans="1:8" x14ac:dyDescent="0.2">
      <c r="A99" s="10" t="s">
        <v>419</v>
      </c>
      <c r="B99" s="10" t="s">
        <v>505</v>
      </c>
      <c r="D99" t="s">
        <v>421</v>
      </c>
      <c r="E99" t="s">
        <v>382</v>
      </c>
      <c r="G99" t="s">
        <v>199</v>
      </c>
      <c r="H99" s="13">
        <v>3003.2899699999998</v>
      </c>
    </row>
    <row r="100" spans="1:8" x14ac:dyDescent="0.2">
      <c r="A100" s="10" t="s">
        <v>60</v>
      </c>
      <c r="B100" s="10" t="s">
        <v>505</v>
      </c>
      <c r="D100" t="s">
        <v>422</v>
      </c>
      <c r="E100" t="s">
        <v>379</v>
      </c>
      <c r="G100" t="s">
        <v>529</v>
      </c>
      <c r="H100" s="13">
        <v>1121.48387</v>
      </c>
    </row>
    <row r="101" spans="1:8" x14ac:dyDescent="0.2">
      <c r="A101" s="10" t="s">
        <v>198</v>
      </c>
      <c r="B101" s="10" t="s">
        <v>505</v>
      </c>
      <c r="D101" t="s">
        <v>199</v>
      </c>
      <c r="E101" t="s">
        <v>388</v>
      </c>
      <c r="G101" t="s">
        <v>267</v>
      </c>
      <c r="H101" s="13">
        <v>18465.541399999998</v>
      </c>
    </row>
    <row r="102" spans="1:8" x14ac:dyDescent="0.2">
      <c r="A102" s="10" t="s">
        <v>200</v>
      </c>
      <c r="B102" s="10" t="s">
        <v>505</v>
      </c>
      <c r="D102" t="s">
        <v>287</v>
      </c>
      <c r="E102" t="s">
        <v>376</v>
      </c>
      <c r="G102" t="s">
        <v>197</v>
      </c>
      <c r="H102" s="13">
        <v>1760.62636</v>
      </c>
    </row>
    <row r="103" spans="1:8" x14ac:dyDescent="0.2">
      <c r="A103" s="10" t="s">
        <v>290</v>
      </c>
      <c r="B103" s="10" t="s">
        <v>505</v>
      </c>
      <c r="D103" t="s">
        <v>289</v>
      </c>
      <c r="E103" t="s">
        <v>379</v>
      </c>
      <c r="G103" t="s">
        <v>289</v>
      </c>
      <c r="H103" s="13">
        <v>18428.0288</v>
      </c>
    </row>
    <row r="104" spans="1:8" x14ac:dyDescent="0.2">
      <c r="A104" s="10" t="s">
        <v>202</v>
      </c>
      <c r="B104" s="10" t="s">
        <v>505</v>
      </c>
      <c r="D104" t="s">
        <v>293</v>
      </c>
      <c r="E104" t="s">
        <v>379</v>
      </c>
      <c r="G104" t="s">
        <v>530</v>
      </c>
      <c r="H104" s="13">
        <v>7699.2325899999996</v>
      </c>
    </row>
    <row r="105" spans="1:8" x14ac:dyDescent="0.2">
      <c r="A105" s="10" t="s">
        <v>64</v>
      </c>
      <c r="B105" s="10" t="s">
        <v>505</v>
      </c>
      <c r="D105" t="s">
        <v>201</v>
      </c>
      <c r="E105" t="s">
        <v>376</v>
      </c>
      <c r="G105" t="s">
        <v>531</v>
      </c>
      <c r="H105" s="13">
        <v>6036.8137399999996</v>
      </c>
    </row>
    <row r="106" spans="1:8" x14ac:dyDescent="0.2">
      <c r="A106" s="10" t="s">
        <v>489</v>
      </c>
      <c r="B106" s="10" t="s">
        <v>505</v>
      </c>
      <c r="D106" t="s">
        <v>63</v>
      </c>
      <c r="E106" t="s">
        <v>376</v>
      </c>
      <c r="G106" t="s">
        <v>532</v>
      </c>
      <c r="H106" s="13">
        <v>1647.5273199999999</v>
      </c>
    </row>
    <row r="107" spans="1:8" x14ac:dyDescent="0.2">
      <c r="A107" s="10" t="s">
        <v>204</v>
      </c>
      <c r="B107" s="10" t="s">
        <v>505</v>
      </c>
      <c r="D107" t="s">
        <v>65</v>
      </c>
      <c r="E107" t="s">
        <v>376</v>
      </c>
      <c r="G107" t="s">
        <v>533</v>
      </c>
      <c r="H107" s="13">
        <v>2234.8361599999998</v>
      </c>
    </row>
    <row r="108" spans="1:8" x14ac:dyDescent="0.2">
      <c r="A108" s="10" t="s">
        <v>68</v>
      </c>
      <c r="B108" s="10" t="s">
        <v>505</v>
      </c>
      <c r="D108" t="s">
        <v>203</v>
      </c>
      <c r="E108" t="s">
        <v>376</v>
      </c>
      <c r="G108" t="s">
        <v>63</v>
      </c>
      <c r="H108" s="13">
        <v>4730.8348500000002</v>
      </c>
    </row>
    <row r="109" spans="1:8" x14ac:dyDescent="0.2">
      <c r="A109" s="10" t="s">
        <v>70</v>
      </c>
      <c r="B109" s="10" t="s">
        <v>505</v>
      </c>
      <c r="D109" t="s">
        <v>295</v>
      </c>
      <c r="E109" t="s">
        <v>379</v>
      </c>
      <c r="G109" t="s">
        <v>534</v>
      </c>
      <c r="H109" s="13">
        <v>1332.3172999999999</v>
      </c>
    </row>
    <row r="110" spans="1:8" x14ac:dyDescent="0.2">
      <c r="A110" s="10" t="s">
        <v>304</v>
      </c>
      <c r="B110" s="10" t="s">
        <v>505</v>
      </c>
      <c r="D110" t="s">
        <v>423</v>
      </c>
      <c r="E110" t="s">
        <v>379</v>
      </c>
      <c r="G110" t="s">
        <v>423</v>
      </c>
      <c r="H110" s="13">
        <v>88328.5481</v>
      </c>
    </row>
    <row r="111" spans="1:8" x14ac:dyDescent="0.2">
      <c r="A111" s="10" t="s">
        <v>206</v>
      </c>
      <c r="B111" s="10" t="s">
        <v>505</v>
      </c>
      <c r="D111" t="s">
        <v>297</v>
      </c>
      <c r="E111" t="s">
        <v>376</v>
      </c>
      <c r="G111" t="s">
        <v>201</v>
      </c>
      <c r="H111" s="13">
        <v>2347.4482899999998</v>
      </c>
    </row>
    <row r="112" spans="1:8" x14ac:dyDescent="0.2">
      <c r="A112" s="10" t="s">
        <v>208</v>
      </c>
      <c r="B112" s="10" t="s">
        <v>505</v>
      </c>
      <c r="D112" t="s">
        <v>299</v>
      </c>
      <c r="E112" t="s">
        <v>379</v>
      </c>
      <c r="G112" t="s">
        <v>535</v>
      </c>
      <c r="H112" s="13"/>
    </row>
    <row r="113" spans="1:8" x14ac:dyDescent="0.2">
      <c r="A113" s="10" t="s">
        <v>490</v>
      </c>
      <c r="B113" s="10" t="s">
        <v>505</v>
      </c>
      <c r="D113" t="s">
        <v>67</v>
      </c>
      <c r="E113" t="s">
        <v>388</v>
      </c>
      <c r="G113" t="s">
        <v>295</v>
      </c>
      <c r="H113" s="13">
        <v>105190.686</v>
      </c>
    </row>
    <row r="114" spans="1:8" x14ac:dyDescent="0.2">
      <c r="A114" s="10" t="s">
        <v>308</v>
      </c>
      <c r="B114" s="10" t="s">
        <v>505</v>
      </c>
      <c r="D114" t="s">
        <v>301</v>
      </c>
      <c r="E114" t="s">
        <v>376</v>
      </c>
      <c r="G114" t="s">
        <v>65</v>
      </c>
      <c r="H114" s="13">
        <v>4721.2043700000004</v>
      </c>
    </row>
    <row r="115" spans="1:8" x14ac:dyDescent="0.2">
      <c r="A115" s="10" t="s">
        <v>491</v>
      </c>
      <c r="B115" s="10" t="s">
        <v>505</v>
      </c>
      <c r="D115" t="s">
        <v>424</v>
      </c>
      <c r="E115" t="s">
        <v>379</v>
      </c>
      <c r="G115" t="s">
        <v>203</v>
      </c>
      <c r="H115" s="13">
        <v>6520.7315500000004</v>
      </c>
    </row>
    <row r="116" spans="1:8" x14ac:dyDescent="0.2">
      <c r="A116" s="10" t="s">
        <v>492</v>
      </c>
      <c r="B116" s="10" t="s">
        <v>505</v>
      </c>
      <c r="D116" t="s">
        <v>69</v>
      </c>
      <c r="E116" t="s">
        <v>376</v>
      </c>
      <c r="G116" t="s">
        <v>293</v>
      </c>
      <c r="H116" s="13">
        <v>76350.455000000002</v>
      </c>
    </row>
    <row r="117" spans="1:8" x14ac:dyDescent="0.2">
      <c r="A117" s="10" t="s">
        <v>426</v>
      </c>
      <c r="B117" s="10" t="s">
        <v>505</v>
      </c>
      <c r="D117" t="s">
        <v>303</v>
      </c>
      <c r="E117" t="s">
        <v>376</v>
      </c>
      <c r="G117" t="s">
        <v>297</v>
      </c>
      <c r="H117" s="13">
        <v>54949.621599999999</v>
      </c>
    </row>
    <row r="118" spans="1:8" x14ac:dyDescent="0.2">
      <c r="A118" s="10" t="s">
        <v>140</v>
      </c>
      <c r="B118" s="10" t="s">
        <v>505</v>
      </c>
      <c r="D118" t="s">
        <v>205</v>
      </c>
      <c r="E118" t="s">
        <v>380</v>
      </c>
      <c r="G118" t="s">
        <v>299</v>
      </c>
      <c r="H118" s="13">
        <v>35653.904199999997</v>
      </c>
    </row>
    <row r="119" spans="1:8" x14ac:dyDescent="0.2">
      <c r="A119" s="10" t="s">
        <v>142</v>
      </c>
      <c r="B119" s="10" t="s">
        <v>505</v>
      </c>
      <c r="D119" t="s">
        <v>207</v>
      </c>
      <c r="E119" t="s">
        <v>382</v>
      </c>
      <c r="G119" t="s">
        <v>67</v>
      </c>
      <c r="H119" s="13">
        <v>6626.4750199999999</v>
      </c>
    </row>
    <row r="120" spans="1:8" x14ac:dyDescent="0.2">
      <c r="A120" s="10" t="s">
        <v>74</v>
      </c>
      <c r="B120" s="10" t="s">
        <v>505</v>
      </c>
      <c r="D120" t="s">
        <v>425</v>
      </c>
      <c r="E120" t="s">
        <v>376</v>
      </c>
      <c r="G120" t="s">
        <v>69</v>
      </c>
      <c r="H120" s="13">
        <v>4332.2515999999996</v>
      </c>
    </row>
    <row r="121" spans="1:8" x14ac:dyDescent="0.2">
      <c r="A121" s="10" t="s">
        <v>144</v>
      </c>
      <c r="B121" s="10" t="s">
        <v>505</v>
      </c>
      <c r="D121" t="s">
        <v>305</v>
      </c>
      <c r="E121" t="s">
        <v>376</v>
      </c>
      <c r="G121" t="s">
        <v>301</v>
      </c>
      <c r="H121" s="13">
        <v>34065.643900000003</v>
      </c>
    </row>
    <row r="122" spans="1:8" x14ac:dyDescent="0.2">
      <c r="A122" s="10" t="s">
        <v>146</v>
      </c>
      <c r="B122" s="10" t="s">
        <v>505</v>
      </c>
      <c r="D122" t="s">
        <v>307</v>
      </c>
      <c r="E122" t="s">
        <v>376</v>
      </c>
      <c r="G122" t="s">
        <v>303</v>
      </c>
      <c r="H122" s="13">
        <v>11255.339599999999</v>
      </c>
    </row>
    <row r="123" spans="1:8" x14ac:dyDescent="0.2">
      <c r="A123" s="10" t="s">
        <v>318</v>
      </c>
      <c r="B123" s="10" t="s">
        <v>505</v>
      </c>
      <c r="D123" t="s">
        <v>71</v>
      </c>
      <c r="E123" t="s">
        <v>376</v>
      </c>
      <c r="G123" t="s">
        <v>205</v>
      </c>
      <c r="H123" s="13">
        <v>2109.5628900000002</v>
      </c>
    </row>
    <row r="124" spans="1:8" x14ac:dyDescent="0.2">
      <c r="A124" s="10" t="s">
        <v>76</v>
      </c>
      <c r="B124" s="10" t="s">
        <v>505</v>
      </c>
      <c r="D124" t="s">
        <v>209</v>
      </c>
      <c r="E124" t="s">
        <v>376</v>
      </c>
      <c r="G124" t="s">
        <v>71</v>
      </c>
      <c r="H124" s="13">
        <v>1739.72018</v>
      </c>
    </row>
    <row r="125" spans="1:8" x14ac:dyDescent="0.2">
      <c r="A125" s="10" t="s">
        <v>148</v>
      </c>
      <c r="B125" s="10" t="s">
        <v>505</v>
      </c>
      <c r="D125" t="s">
        <v>309</v>
      </c>
      <c r="E125" t="s">
        <v>379</v>
      </c>
      <c r="G125" t="s">
        <v>177</v>
      </c>
      <c r="H125" s="13">
        <v>2325.0304999999998</v>
      </c>
    </row>
    <row r="126" spans="1:8" x14ac:dyDescent="0.2">
      <c r="A126" s="10" t="s">
        <v>429</v>
      </c>
      <c r="B126" s="10" t="s">
        <v>505</v>
      </c>
      <c r="D126" t="s">
        <v>427</v>
      </c>
      <c r="E126" t="s">
        <v>376</v>
      </c>
      <c r="G126" t="s">
        <v>207</v>
      </c>
      <c r="H126" s="13">
        <v>2069.7671700000001</v>
      </c>
    </row>
    <row r="127" spans="1:8" x14ac:dyDescent="0.2">
      <c r="A127" s="10" t="s">
        <v>150</v>
      </c>
      <c r="B127" s="10" t="s">
        <v>505</v>
      </c>
      <c r="D127" t="s">
        <v>139</v>
      </c>
      <c r="E127" t="s">
        <v>380</v>
      </c>
      <c r="G127" t="s">
        <v>452</v>
      </c>
      <c r="H127" s="13">
        <v>21011.574400000001</v>
      </c>
    </row>
    <row r="128" spans="1:8" x14ac:dyDescent="0.2">
      <c r="A128" s="10" t="s">
        <v>78</v>
      </c>
      <c r="B128" s="10" t="s">
        <v>505</v>
      </c>
      <c r="D128" t="s">
        <v>141</v>
      </c>
      <c r="E128" t="s">
        <v>380</v>
      </c>
      <c r="G128" t="s">
        <v>305</v>
      </c>
      <c r="H128" s="13">
        <v>34822.404799999997</v>
      </c>
    </row>
    <row r="129" spans="1:8" x14ac:dyDescent="0.2">
      <c r="A129" s="10" t="s">
        <v>80</v>
      </c>
      <c r="B129" s="10" t="s">
        <v>505</v>
      </c>
      <c r="D129" t="s">
        <v>73</v>
      </c>
      <c r="E129" t="s">
        <v>380</v>
      </c>
      <c r="G129" t="s">
        <v>307</v>
      </c>
      <c r="H129" s="13">
        <v>39981.769099999998</v>
      </c>
    </row>
    <row r="130" spans="1:8" x14ac:dyDescent="0.2">
      <c r="A130" s="10" t="s">
        <v>417</v>
      </c>
      <c r="B130" s="10" t="s">
        <v>505</v>
      </c>
      <c r="D130" t="s">
        <v>311</v>
      </c>
      <c r="E130" t="s">
        <v>379</v>
      </c>
      <c r="G130" t="s">
        <v>536</v>
      </c>
      <c r="H130" s="13">
        <v>9111.3492700000006</v>
      </c>
    </row>
    <row r="131" spans="1:8" x14ac:dyDescent="0.2">
      <c r="A131" s="10" t="s">
        <v>493</v>
      </c>
      <c r="B131" s="10" t="s">
        <v>505</v>
      </c>
      <c r="D131" t="s">
        <v>313</v>
      </c>
      <c r="E131" t="s">
        <v>379</v>
      </c>
      <c r="G131" t="s">
        <v>209</v>
      </c>
      <c r="H131" s="13">
        <v>2046.4043999999999</v>
      </c>
    </row>
    <row r="132" spans="1:8" x14ac:dyDescent="0.2">
      <c r="A132" s="10" t="s">
        <v>84</v>
      </c>
      <c r="B132" s="10" t="s">
        <v>505</v>
      </c>
      <c r="D132" t="s">
        <v>315</v>
      </c>
      <c r="E132" t="s">
        <v>379</v>
      </c>
      <c r="G132" t="s">
        <v>427</v>
      </c>
      <c r="H132" s="13">
        <v>3654.3584599999999</v>
      </c>
    </row>
    <row r="133" spans="1:8" x14ac:dyDescent="0.2">
      <c r="A133" s="10" t="s">
        <v>434</v>
      </c>
      <c r="B133" s="10" t="s">
        <v>505</v>
      </c>
      <c r="D133" t="s">
        <v>428</v>
      </c>
      <c r="E133" t="s">
        <v>376</v>
      </c>
      <c r="G133" t="s">
        <v>141</v>
      </c>
      <c r="H133" s="13">
        <v>744.61717499999997</v>
      </c>
    </row>
    <row r="134" spans="1:8" x14ac:dyDescent="0.2">
      <c r="A134" s="10" t="s">
        <v>214</v>
      </c>
      <c r="B134" s="10" t="s">
        <v>505</v>
      </c>
      <c r="D134" t="s">
        <v>143</v>
      </c>
      <c r="E134" t="s">
        <v>380</v>
      </c>
      <c r="G134" t="s">
        <v>73</v>
      </c>
      <c r="H134" s="13">
        <v>5986.6369500000001</v>
      </c>
    </row>
    <row r="135" spans="1:8" x14ac:dyDescent="0.2">
      <c r="A135" s="10" t="s">
        <v>152</v>
      </c>
      <c r="B135" s="10" t="s">
        <v>505</v>
      </c>
      <c r="D135" t="s">
        <v>145</v>
      </c>
      <c r="E135" t="s">
        <v>380</v>
      </c>
      <c r="G135" t="s">
        <v>95</v>
      </c>
      <c r="H135" s="13">
        <v>13103.8243</v>
      </c>
    </row>
    <row r="136" spans="1:8" x14ac:dyDescent="0.2">
      <c r="A136" s="10" t="s">
        <v>216</v>
      </c>
      <c r="B136" s="10" t="s">
        <v>505</v>
      </c>
      <c r="D136" t="s">
        <v>317</v>
      </c>
      <c r="E136" t="s">
        <v>376</v>
      </c>
      <c r="G136" t="s">
        <v>537</v>
      </c>
      <c r="H136" s="13">
        <v>9408.8482000000004</v>
      </c>
    </row>
    <row r="137" spans="1:8" x14ac:dyDescent="0.2">
      <c r="A137" s="10" t="s">
        <v>218</v>
      </c>
      <c r="B137" s="10" t="s">
        <v>505</v>
      </c>
      <c r="D137" t="s">
        <v>75</v>
      </c>
      <c r="E137" t="s">
        <v>376</v>
      </c>
      <c r="G137" t="s">
        <v>538</v>
      </c>
      <c r="H137" s="13">
        <v>1299.3617200000001</v>
      </c>
    </row>
    <row r="138" spans="1:8" x14ac:dyDescent="0.2">
      <c r="A138" s="10" t="s">
        <v>437</v>
      </c>
      <c r="B138" s="10" t="s">
        <v>505</v>
      </c>
      <c r="D138" t="s">
        <v>147</v>
      </c>
      <c r="E138" t="s">
        <v>380</v>
      </c>
      <c r="G138" t="s">
        <v>539</v>
      </c>
      <c r="H138" s="13">
        <v>734.20411799999999</v>
      </c>
    </row>
    <row r="139" spans="1:8" x14ac:dyDescent="0.2">
      <c r="A139" s="10" t="s">
        <v>220</v>
      </c>
      <c r="B139" s="10" t="s">
        <v>505</v>
      </c>
      <c r="D139" t="s">
        <v>319</v>
      </c>
      <c r="E139" t="s">
        <v>379</v>
      </c>
      <c r="G139" t="s">
        <v>311</v>
      </c>
      <c r="H139" s="13">
        <v>188055.003</v>
      </c>
    </row>
    <row r="140" spans="1:8" x14ac:dyDescent="0.2">
      <c r="A140" s="10" t="s">
        <v>222</v>
      </c>
      <c r="B140" s="10" t="s">
        <v>505</v>
      </c>
      <c r="D140" t="s">
        <v>430</v>
      </c>
      <c r="E140" t="s">
        <v>382</v>
      </c>
      <c r="G140" t="s">
        <v>103</v>
      </c>
      <c r="H140" s="13">
        <v>3342.6365000000001</v>
      </c>
    </row>
    <row r="141" spans="1:8" x14ac:dyDescent="0.2">
      <c r="A141" s="10" t="s">
        <v>154</v>
      </c>
      <c r="B141" s="10" t="s">
        <v>505</v>
      </c>
      <c r="D141" t="s">
        <v>431</v>
      </c>
      <c r="E141" t="s">
        <v>388</v>
      </c>
      <c r="G141" t="s">
        <v>540</v>
      </c>
      <c r="H141" s="13">
        <v>2493.6148699999999</v>
      </c>
    </row>
    <row r="142" spans="1:8" x14ac:dyDescent="0.2">
      <c r="A142" s="10" t="s">
        <v>440</v>
      </c>
      <c r="B142" s="10" t="s">
        <v>505</v>
      </c>
      <c r="D142" t="s">
        <v>149</v>
      </c>
      <c r="E142" t="s">
        <v>380</v>
      </c>
      <c r="G142" t="s">
        <v>541</v>
      </c>
      <c r="H142" s="13">
        <v>5741.7838199999997</v>
      </c>
    </row>
    <row r="143" spans="1:8" x14ac:dyDescent="0.2">
      <c r="A143" s="10" t="s">
        <v>86</v>
      </c>
      <c r="B143" s="10" t="s">
        <v>505</v>
      </c>
      <c r="D143" t="s">
        <v>77</v>
      </c>
      <c r="E143" t="s">
        <v>380</v>
      </c>
      <c r="G143" t="s">
        <v>139</v>
      </c>
      <c r="H143" s="13">
        <v>1030.12583</v>
      </c>
    </row>
    <row r="144" spans="1:8" x14ac:dyDescent="0.2">
      <c r="A144" s="10" t="s">
        <v>328</v>
      </c>
      <c r="B144" s="10" t="s">
        <v>505</v>
      </c>
      <c r="D144" t="s">
        <v>432</v>
      </c>
      <c r="E144" t="s">
        <v>380</v>
      </c>
      <c r="G144" t="s">
        <v>542</v>
      </c>
      <c r="H144" s="13">
        <v>12286.084699999999</v>
      </c>
    </row>
    <row r="145" spans="1:8" x14ac:dyDescent="0.2">
      <c r="A145" s="10" t="s">
        <v>156</v>
      </c>
      <c r="B145" s="10" t="s">
        <v>505</v>
      </c>
      <c r="D145" t="s">
        <v>79</v>
      </c>
      <c r="E145" t="s">
        <v>388</v>
      </c>
      <c r="G145" t="s">
        <v>313</v>
      </c>
      <c r="H145" s="13">
        <v>25085.784100000001</v>
      </c>
    </row>
    <row r="146" spans="1:8" x14ac:dyDescent="0.2">
      <c r="A146" s="10" t="s">
        <v>88</v>
      </c>
      <c r="B146" s="10" t="s">
        <v>505</v>
      </c>
      <c r="D146" t="s">
        <v>211</v>
      </c>
      <c r="E146" t="s">
        <v>382</v>
      </c>
      <c r="G146" t="s">
        <v>315</v>
      </c>
      <c r="H146" s="13">
        <v>123719.659</v>
      </c>
    </row>
    <row r="147" spans="1:8" x14ac:dyDescent="0.2">
      <c r="A147" s="10" t="s">
        <v>330</v>
      </c>
      <c r="B147" s="10" t="s">
        <v>505</v>
      </c>
      <c r="D147" t="s">
        <v>81</v>
      </c>
      <c r="E147" t="s">
        <v>379</v>
      </c>
      <c r="G147" t="s">
        <v>309</v>
      </c>
      <c r="H147" s="13">
        <v>20221.1037</v>
      </c>
    </row>
    <row r="148" spans="1:8" x14ac:dyDescent="0.2">
      <c r="A148" s="10" t="s">
        <v>224</v>
      </c>
      <c r="B148" s="10" t="s">
        <v>505</v>
      </c>
      <c r="D148" t="s">
        <v>433</v>
      </c>
      <c r="E148" t="s">
        <v>379</v>
      </c>
      <c r="G148" t="s">
        <v>428</v>
      </c>
      <c r="H148" s="13">
        <v>36806.891300000003</v>
      </c>
    </row>
    <row r="149" spans="1:8" x14ac:dyDescent="0.2">
      <c r="A149" s="10" t="s">
        <v>90</v>
      </c>
      <c r="B149" s="10" t="s">
        <v>505</v>
      </c>
      <c r="D149" t="s">
        <v>83</v>
      </c>
      <c r="E149" t="s">
        <v>376</v>
      </c>
      <c r="G149" t="s">
        <v>453</v>
      </c>
      <c r="H149" s="13"/>
    </row>
    <row r="150" spans="1:8" x14ac:dyDescent="0.2">
      <c r="A150" s="10" t="s">
        <v>92</v>
      </c>
      <c r="B150" s="10" t="s">
        <v>505</v>
      </c>
      <c r="D150" t="s">
        <v>435</v>
      </c>
      <c r="E150" t="s">
        <v>379</v>
      </c>
      <c r="G150" t="s">
        <v>213</v>
      </c>
      <c r="H150" s="13">
        <v>3463.1377000000002</v>
      </c>
    </row>
    <row r="151" spans="1:8" x14ac:dyDescent="0.2">
      <c r="A151" s="10" t="s">
        <v>94</v>
      </c>
      <c r="B151" s="10" t="s">
        <v>505</v>
      </c>
      <c r="D151" t="s">
        <v>436</v>
      </c>
      <c r="E151" t="s">
        <v>388</v>
      </c>
      <c r="G151" t="s">
        <v>433</v>
      </c>
      <c r="H151" s="13">
        <v>226052.00200000001</v>
      </c>
    </row>
    <row r="152" spans="1:8" x14ac:dyDescent="0.2">
      <c r="A152" s="10" t="s">
        <v>332</v>
      </c>
      <c r="B152" s="10" t="s">
        <v>505</v>
      </c>
      <c r="D152" t="s">
        <v>213</v>
      </c>
      <c r="E152" t="s">
        <v>380</v>
      </c>
      <c r="G152" t="s">
        <v>81</v>
      </c>
      <c r="H152" s="13">
        <v>5744.2961800000003</v>
      </c>
    </row>
    <row r="153" spans="1:8" x14ac:dyDescent="0.2">
      <c r="A153" s="10" t="s">
        <v>336</v>
      </c>
      <c r="B153" s="10" t="s">
        <v>505</v>
      </c>
      <c r="D153" t="s">
        <v>151</v>
      </c>
      <c r="E153" t="s">
        <v>380</v>
      </c>
      <c r="G153" t="s">
        <v>143</v>
      </c>
      <c r="H153" s="13">
        <v>503.51453299999997</v>
      </c>
    </row>
    <row r="154" spans="1:8" x14ac:dyDescent="0.2">
      <c r="A154" s="10" t="s">
        <v>338</v>
      </c>
      <c r="B154" s="10" t="s">
        <v>505</v>
      </c>
      <c r="D154" t="s">
        <v>215</v>
      </c>
      <c r="E154" t="s">
        <v>376</v>
      </c>
      <c r="G154" t="s">
        <v>75</v>
      </c>
      <c r="H154" s="13">
        <v>11786.0191</v>
      </c>
    </row>
    <row r="155" spans="1:8" x14ac:dyDescent="0.2">
      <c r="A155" s="10" t="s">
        <v>494</v>
      </c>
      <c r="B155" s="10" t="s">
        <v>505</v>
      </c>
      <c r="D155" t="s">
        <v>217</v>
      </c>
      <c r="E155" t="s">
        <v>380</v>
      </c>
      <c r="G155" t="s">
        <v>543</v>
      </c>
      <c r="H155" s="13">
        <v>6430.5355300000001</v>
      </c>
    </row>
    <row r="156" spans="1:8" x14ac:dyDescent="0.2">
      <c r="A156" s="10" t="s">
        <v>158</v>
      </c>
      <c r="B156" s="10" t="s">
        <v>505</v>
      </c>
      <c r="D156" t="s">
        <v>438</v>
      </c>
      <c r="E156" t="s">
        <v>382</v>
      </c>
      <c r="G156" t="s">
        <v>79</v>
      </c>
      <c r="H156" s="13">
        <v>11405.794</v>
      </c>
    </row>
    <row r="157" spans="1:8" x14ac:dyDescent="0.2">
      <c r="A157" s="10" t="s">
        <v>100</v>
      </c>
      <c r="B157" s="10" t="s">
        <v>505</v>
      </c>
      <c r="D157" t="s">
        <v>219</v>
      </c>
      <c r="E157" t="s">
        <v>376</v>
      </c>
      <c r="G157" t="s">
        <v>430</v>
      </c>
      <c r="H157" s="13">
        <v>6455.6606199999997</v>
      </c>
    </row>
    <row r="158" spans="1:8" x14ac:dyDescent="0.2">
      <c r="A158" s="10" t="s">
        <v>495</v>
      </c>
      <c r="B158" s="10" t="s">
        <v>505</v>
      </c>
      <c r="D158" t="s">
        <v>321</v>
      </c>
      <c r="E158" t="s">
        <v>379</v>
      </c>
      <c r="G158" t="s">
        <v>544</v>
      </c>
      <c r="H158" s="13">
        <v>6248.0096199999998</v>
      </c>
    </row>
    <row r="159" spans="1:8" x14ac:dyDescent="0.2">
      <c r="A159" s="10" t="s">
        <v>344</v>
      </c>
      <c r="B159" s="10" t="s">
        <v>505</v>
      </c>
      <c r="D159" t="s">
        <v>439</v>
      </c>
      <c r="E159" t="s">
        <v>382</v>
      </c>
      <c r="G159" t="s">
        <v>85</v>
      </c>
      <c r="H159" s="13">
        <v>7606.2375300000003</v>
      </c>
    </row>
    <row r="160" spans="1:8" x14ac:dyDescent="0.2">
      <c r="A160" s="10" t="s">
        <v>160</v>
      </c>
      <c r="B160" s="10" t="s">
        <v>505</v>
      </c>
      <c r="D160" t="s">
        <v>323</v>
      </c>
      <c r="E160" t="s">
        <v>382</v>
      </c>
      <c r="G160" t="s">
        <v>147</v>
      </c>
      <c r="H160" s="13">
        <v>976.91411600000004</v>
      </c>
    </row>
    <row r="161" spans="1:8" x14ac:dyDescent="0.2">
      <c r="A161" s="10" t="s">
        <v>346</v>
      </c>
      <c r="B161" s="10" t="s">
        <v>505</v>
      </c>
      <c r="D161" t="s">
        <v>221</v>
      </c>
      <c r="E161" t="s">
        <v>388</v>
      </c>
      <c r="G161" t="s">
        <v>319</v>
      </c>
      <c r="H161" s="13">
        <v>35638.886899999998</v>
      </c>
    </row>
    <row r="162" spans="1:8" x14ac:dyDescent="0.2">
      <c r="A162" s="10" t="s">
        <v>348</v>
      </c>
      <c r="B162" s="10" t="s">
        <v>505</v>
      </c>
      <c r="D162" t="s">
        <v>153</v>
      </c>
      <c r="E162" t="s">
        <v>380</v>
      </c>
      <c r="G162" t="s">
        <v>215</v>
      </c>
      <c r="H162" s="13">
        <v>1158.0500500000001</v>
      </c>
    </row>
    <row r="163" spans="1:8" x14ac:dyDescent="0.2">
      <c r="A163" s="10" t="s">
        <v>162</v>
      </c>
      <c r="B163" s="10" t="s">
        <v>505</v>
      </c>
      <c r="D163" t="s">
        <v>441</v>
      </c>
      <c r="E163" t="s">
        <v>380</v>
      </c>
      <c r="G163" t="s">
        <v>545</v>
      </c>
      <c r="H163" s="13">
        <v>3015.7557999999999</v>
      </c>
    </row>
    <row r="164" spans="1:8" x14ac:dyDescent="0.2">
      <c r="A164" s="10" t="s">
        <v>228</v>
      </c>
      <c r="B164" s="10" t="s">
        <v>505</v>
      </c>
      <c r="D164" t="s">
        <v>442</v>
      </c>
      <c r="E164" t="s">
        <v>382</v>
      </c>
      <c r="G164" t="s">
        <v>435</v>
      </c>
      <c r="H164" s="13">
        <v>10024.543600000001</v>
      </c>
    </row>
    <row r="165" spans="1:8" x14ac:dyDescent="0.2">
      <c r="A165" s="10" t="s">
        <v>456</v>
      </c>
      <c r="B165" s="10" t="s">
        <v>505</v>
      </c>
      <c r="D165" t="s">
        <v>443</v>
      </c>
      <c r="E165" t="s">
        <v>382</v>
      </c>
      <c r="G165" t="s">
        <v>83</v>
      </c>
      <c r="H165" s="13">
        <v>4993.51487</v>
      </c>
    </row>
    <row r="166" spans="1:8" x14ac:dyDescent="0.2">
      <c r="A166" s="10" t="s">
        <v>102</v>
      </c>
      <c r="B166" s="10" t="s">
        <v>505</v>
      </c>
      <c r="D166" t="s">
        <v>85</v>
      </c>
      <c r="E166" t="s">
        <v>379</v>
      </c>
      <c r="G166" t="s">
        <v>444</v>
      </c>
      <c r="H166" s="13">
        <v>23785.7546</v>
      </c>
    </row>
    <row r="167" spans="1:8" x14ac:dyDescent="0.2">
      <c r="A167" s="10" t="s">
        <v>459</v>
      </c>
      <c r="B167" s="10" t="s">
        <v>505</v>
      </c>
      <c r="D167" t="s">
        <v>444</v>
      </c>
      <c r="E167" t="s">
        <v>382</v>
      </c>
      <c r="G167" t="s">
        <v>151</v>
      </c>
      <c r="H167" s="13">
        <v>578.25166400000001</v>
      </c>
    </row>
    <row r="168" spans="1:8" x14ac:dyDescent="0.2">
      <c r="A168" s="10" t="s">
        <v>104</v>
      </c>
      <c r="B168" s="10" t="s">
        <v>505</v>
      </c>
      <c r="D168" t="s">
        <v>325</v>
      </c>
      <c r="E168" t="s">
        <v>379</v>
      </c>
      <c r="G168" t="s">
        <v>149</v>
      </c>
      <c r="H168" s="13">
        <v>1960.3524</v>
      </c>
    </row>
    <row r="169" spans="1:8" x14ac:dyDescent="0.2">
      <c r="A169" s="10" t="s">
        <v>496</v>
      </c>
      <c r="B169" s="10" t="s">
        <v>505</v>
      </c>
      <c r="D169" t="s">
        <v>327</v>
      </c>
      <c r="E169" t="s">
        <v>376</v>
      </c>
      <c r="G169" t="s">
        <v>77</v>
      </c>
      <c r="H169" s="13">
        <v>10246.501700000001</v>
      </c>
    </row>
    <row r="170" spans="1:8" x14ac:dyDescent="0.2">
      <c r="A170" s="10" t="s">
        <v>497</v>
      </c>
      <c r="B170" s="10" t="s">
        <v>505</v>
      </c>
      <c r="D170" t="s">
        <v>155</v>
      </c>
      <c r="E170" t="s">
        <v>376</v>
      </c>
      <c r="G170" t="s">
        <v>145</v>
      </c>
      <c r="H170" s="13">
        <v>604.26973999999996</v>
      </c>
    </row>
    <row r="171" spans="1:8" x14ac:dyDescent="0.2">
      <c r="A171" s="10" t="s">
        <v>498</v>
      </c>
      <c r="B171" s="10" t="s">
        <v>505</v>
      </c>
      <c r="D171" t="s">
        <v>87</v>
      </c>
      <c r="E171" t="s">
        <v>382</v>
      </c>
      <c r="G171" t="s">
        <v>317</v>
      </c>
      <c r="H171" s="13">
        <v>11754.567800000001</v>
      </c>
    </row>
    <row r="172" spans="1:8" x14ac:dyDescent="0.2">
      <c r="A172" s="10" t="s">
        <v>164</v>
      </c>
      <c r="B172" s="10" t="s">
        <v>505</v>
      </c>
      <c r="D172" t="s">
        <v>445</v>
      </c>
      <c r="E172" t="s">
        <v>376</v>
      </c>
      <c r="G172" t="s">
        <v>546</v>
      </c>
      <c r="H172" s="13">
        <v>74535.636499999993</v>
      </c>
    </row>
    <row r="173" spans="1:8" x14ac:dyDescent="0.2">
      <c r="A173" s="10" t="s">
        <v>461</v>
      </c>
      <c r="B173" s="10" t="s">
        <v>505</v>
      </c>
      <c r="D173" t="s">
        <v>329</v>
      </c>
      <c r="E173" t="s">
        <v>388</v>
      </c>
      <c r="G173" t="s">
        <v>217</v>
      </c>
      <c r="H173" s="13">
        <v>4349.7990799999998</v>
      </c>
    </row>
    <row r="174" spans="1:8" x14ac:dyDescent="0.2">
      <c r="A174" s="10" t="s">
        <v>499</v>
      </c>
      <c r="B174" s="10" t="s">
        <v>505</v>
      </c>
      <c r="D174" t="s">
        <v>223</v>
      </c>
      <c r="E174" t="s">
        <v>382</v>
      </c>
      <c r="G174" t="s">
        <v>439</v>
      </c>
      <c r="H174" s="13">
        <v>33516.363100000002</v>
      </c>
    </row>
    <row r="175" spans="1:8" x14ac:dyDescent="0.2">
      <c r="A175" s="10" t="s">
        <v>232</v>
      </c>
      <c r="B175" s="10" t="s">
        <v>505</v>
      </c>
      <c r="D175" t="s">
        <v>89</v>
      </c>
      <c r="E175" t="s">
        <v>388</v>
      </c>
      <c r="G175" t="s">
        <v>153</v>
      </c>
      <c r="H175" s="13">
        <v>609.74514799999997</v>
      </c>
    </row>
    <row r="176" spans="1:8" x14ac:dyDescent="0.2">
      <c r="A176" s="10" t="s">
        <v>500</v>
      </c>
      <c r="B176" s="10" t="s">
        <v>505</v>
      </c>
      <c r="D176" t="s">
        <v>91</v>
      </c>
      <c r="E176" t="s">
        <v>388</v>
      </c>
      <c r="G176" t="s">
        <v>441</v>
      </c>
      <c r="H176" s="13">
        <v>2899.1604699999998</v>
      </c>
    </row>
    <row r="177" spans="1:8" x14ac:dyDescent="0.2">
      <c r="A177" s="10" t="s">
        <v>362</v>
      </c>
      <c r="B177" s="10" t="s">
        <v>505</v>
      </c>
      <c r="D177" t="s">
        <v>93</v>
      </c>
      <c r="E177" t="s">
        <v>376</v>
      </c>
      <c r="G177" t="s">
        <v>221</v>
      </c>
      <c r="H177" s="13">
        <v>2322.8905399999999</v>
      </c>
    </row>
    <row r="178" spans="1:8" x14ac:dyDescent="0.2">
      <c r="A178" s="10" t="s">
        <v>234</v>
      </c>
      <c r="B178" s="10" t="s">
        <v>505</v>
      </c>
      <c r="D178" t="s">
        <v>446</v>
      </c>
      <c r="E178" t="s">
        <v>382</v>
      </c>
      <c r="G178" t="s">
        <v>321</v>
      </c>
      <c r="H178" s="13">
        <v>59123.318599999999</v>
      </c>
    </row>
    <row r="179" spans="1:8" x14ac:dyDescent="0.2">
      <c r="A179" s="10" t="s">
        <v>168</v>
      </c>
      <c r="B179" s="10" t="s">
        <v>505</v>
      </c>
      <c r="D179" t="s">
        <v>331</v>
      </c>
      <c r="E179" t="s">
        <v>379</v>
      </c>
      <c r="G179" t="s">
        <v>325</v>
      </c>
      <c r="H179" s="13">
        <v>109269.52099999999</v>
      </c>
    </row>
    <row r="180" spans="1:8" x14ac:dyDescent="0.2">
      <c r="A180" s="10" t="s">
        <v>106</v>
      </c>
      <c r="B180" s="10" t="s">
        <v>505</v>
      </c>
      <c r="D180" t="s">
        <v>333</v>
      </c>
      <c r="E180" t="s">
        <v>379</v>
      </c>
      <c r="G180" t="s">
        <v>219</v>
      </c>
      <c r="H180" s="13">
        <v>1385.91066</v>
      </c>
    </row>
    <row r="181" spans="1:8" x14ac:dyDescent="0.2">
      <c r="A181" s="10" t="s">
        <v>364</v>
      </c>
      <c r="B181" s="10" t="s">
        <v>505</v>
      </c>
      <c r="D181" t="s">
        <v>448</v>
      </c>
      <c r="E181" t="s">
        <v>388</v>
      </c>
      <c r="G181" t="s">
        <v>438</v>
      </c>
      <c r="H181" s="13">
        <v>12911.908600000001</v>
      </c>
    </row>
    <row r="182" spans="1:8" x14ac:dyDescent="0.2">
      <c r="A182" s="10" t="s">
        <v>108</v>
      </c>
      <c r="B182" s="10" t="s">
        <v>505</v>
      </c>
      <c r="D182" t="s">
        <v>335</v>
      </c>
      <c r="E182" t="s">
        <v>376</v>
      </c>
      <c r="G182" t="s">
        <v>323</v>
      </c>
      <c r="H182" s="13">
        <v>49099.709000000003</v>
      </c>
    </row>
    <row r="183" spans="1:8" x14ac:dyDescent="0.2">
      <c r="A183" s="10" t="s">
        <v>366</v>
      </c>
      <c r="B183" s="10" t="s">
        <v>505</v>
      </c>
      <c r="D183" t="s">
        <v>449</v>
      </c>
      <c r="E183" t="s">
        <v>380</v>
      </c>
      <c r="G183" t="s">
        <v>547</v>
      </c>
      <c r="H183" s="13">
        <v>43950.173699999999</v>
      </c>
    </row>
    <row r="184" spans="1:8" x14ac:dyDescent="0.2">
      <c r="A184" s="10" t="s">
        <v>466</v>
      </c>
      <c r="B184" s="10" t="s">
        <v>505</v>
      </c>
      <c r="D184" t="s">
        <v>337</v>
      </c>
      <c r="E184" t="s">
        <v>379</v>
      </c>
      <c r="G184" t="s">
        <v>327</v>
      </c>
      <c r="H184" s="13">
        <v>23223.582900000001</v>
      </c>
    </row>
    <row r="185" spans="1:8" x14ac:dyDescent="0.2">
      <c r="A185" s="10" t="s">
        <v>236</v>
      </c>
      <c r="B185" s="10" t="s">
        <v>505</v>
      </c>
      <c r="D185" t="s">
        <v>339</v>
      </c>
      <c r="E185" t="s">
        <v>379</v>
      </c>
      <c r="G185" t="s">
        <v>548</v>
      </c>
      <c r="H185" s="13">
        <v>14320.770699999999</v>
      </c>
    </row>
    <row r="186" spans="1:8" x14ac:dyDescent="0.2">
      <c r="A186" s="10" t="s">
        <v>238</v>
      </c>
      <c r="B186" s="10" t="s">
        <v>505</v>
      </c>
      <c r="D186" t="s">
        <v>157</v>
      </c>
      <c r="E186" t="s">
        <v>380</v>
      </c>
      <c r="G186" t="s">
        <v>155</v>
      </c>
      <c r="H186" s="13">
        <v>1538.3228099999999</v>
      </c>
    </row>
    <row r="187" spans="1:8" x14ac:dyDescent="0.2">
      <c r="A187" s="10" t="s">
        <v>110</v>
      </c>
      <c r="B187" s="10" t="s">
        <v>505</v>
      </c>
      <c r="D187" t="s">
        <v>450</v>
      </c>
      <c r="E187" t="s">
        <v>388</v>
      </c>
      <c r="G187" t="s">
        <v>329</v>
      </c>
      <c r="H187" s="13">
        <v>17378.607</v>
      </c>
    </row>
    <row r="188" spans="1:8" x14ac:dyDescent="0.2">
      <c r="A188" s="10" t="s">
        <v>368</v>
      </c>
      <c r="B188" s="10" t="s">
        <v>505</v>
      </c>
      <c r="D188" t="s">
        <v>451</v>
      </c>
      <c r="E188" t="s">
        <v>380</v>
      </c>
      <c r="G188" t="s">
        <v>91</v>
      </c>
      <c r="H188" s="13">
        <v>7350.6303399999997</v>
      </c>
    </row>
    <row r="189" spans="1:8" x14ac:dyDescent="0.2">
      <c r="A189" s="10" t="s">
        <v>374</v>
      </c>
      <c r="B189" s="10" t="s">
        <v>505</v>
      </c>
      <c r="D189" t="s">
        <v>452</v>
      </c>
      <c r="E189" t="s">
        <v>388</v>
      </c>
      <c r="G189" t="s">
        <v>93</v>
      </c>
      <c r="H189" s="13">
        <v>3548.0693099999999</v>
      </c>
    </row>
    <row r="190" spans="1:8" x14ac:dyDescent="0.2">
      <c r="A190" s="10" t="s">
        <v>112</v>
      </c>
      <c r="B190" s="10" t="s">
        <v>505</v>
      </c>
      <c r="D190" t="s">
        <v>95</v>
      </c>
      <c r="E190" t="s">
        <v>388</v>
      </c>
      <c r="G190" t="s">
        <v>87</v>
      </c>
      <c r="H190" s="13">
        <v>13729.7603</v>
      </c>
    </row>
    <row r="191" spans="1:8" x14ac:dyDescent="0.2">
      <c r="A191" s="10" t="s">
        <v>470</v>
      </c>
      <c r="B191" s="10" t="s">
        <v>505</v>
      </c>
      <c r="D191" t="s">
        <v>453</v>
      </c>
      <c r="E191" t="s">
        <v>388</v>
      </c>
      <c r="G191" t="s">
        <v>223</v>
      </c>
      <c r="H191" s="13">
        <v>3102.2896900000001</v>
      </c>
    </row>
    <row r="192" spans="1:8" x14ac:dyDescent="0.2">
      <c r="A192" s="10" t="s">
        <v>501</v>
      </c>
      <c r="B192" s="10" t="s">
        <v>505</v>
      </c>
      <c r="D192" t="s">
        <v>454</v>
      </c>
      <c r="E192" t="s">
        <v>388</v>
      </c>
      <c r="G192" t="s">
        <v>331</v>
      </c>
      <c r="H192" s="13">
        <v>18891.212100000001</v>
      </c>
    </row>
    <row r="193" spans="1:8" x14ac:dyDescent="0.2">
      <c r="A193" s="10" t="s">
        <v>502</v>
      </c>
      <c r="B193" s="10" t="s">
        <v>505</v>
      </c>
      <c r="D193" t="s">
        <v>97</v>
      </c>
      <c r="E193" t="s">
        <v>388</v>
      </c>
      <c r="G193" t="s">
        <v>549</v>
      </c>
      <c r="H193" s="13">
        <v>1770.15579</v>
      </c>
    </row>
    <row r="194" spans="1:8" x14ac:dyDescent="0.2">
      <c r="A194" s="10" t="s">
        <v>503</v>
      </c>
      <c r="B194" s="10" t="s">
        <v>505</v>
      </c>
      <c r="D194" t="s">
        <v>99</v>
      </c>
      <c r="E194" t="s">
        <v>382</v>
      </c>
      <c r="G194" t="s">
        <v>448</v>
      </c>
      <c r="H194" s="13">
        <v>35353.682200000003</v>
      </c>
    </row>
    <row r="195" spans="1:8" x14ac:dyDescent="0.2">
      <c r="A195" s="10" t="s">
        <v>170</v>
      </c>
      <c r="B195" s="10" t="s">
        <v>505</v>
      </c>
      <c r="D195" t="s">
        <v>341</v>
      </c>
      <c r="E195" t="s">
        <v>379</v>
      </c>
      <c r="G195" t="s">
        <v>425</v>
      </c>
      <c r="H195" s="13"/>
    </row>
    <row r="196" spans="1:8" x14ac:dyDescent="0.2">
      <c r="A196" s="10" t="s">
        <v>242</v>
      </c>
      <c r="B196" s="10" t="s">
        <v>505</v>
      </c>
      <c r="D196" t="s">
        <v>225</v>
      </c>
      <c r="E196" t="s">
        <v>380</v>
      </c>
      <c r="G196" t="s">
        <v>333</v>
      </c>
      <c r="H196" s="13">
        <v>24620.519799999998</v>
      </c>
    </row>
    <row r="197" spans="1:8" x14ac:dyDescent="0.2">
      <c r="A197" s="10" t="s">
        <v>244</v>
      </c>
      <c r="B197" s="10" t="s">
        <v>505</v>
      </c>
      <c r="D197" t="s">
        <v>343</v>
      </c>
      <c r="E197" t="s">
        <v>376</v>
      </c>
      <c r="G197" t="s">
        <v>89</v>
      </c>
      <c r="H197" s="13">
        <v>6205.6259499999996</v>
      </c>
    </row>
    <row r="198" spans="1:8" x14ac:dyDescent="0.2">
      <c r="D198" t="s">
        <v>159</v>
      </c>
      <c r="E198" t="s">
        <v>380</v>
      </c>
      <c r="G198" t="s">
        <v>445</v>
      </c>
      <c r="H198" s="13">
        <v>3799.9552699999999</v>
      </c>
    </row>
    <row r="199" spans="1:8" x14ac:dyDescent="0.2">
      <c r="D199" t="s">
        <v>345</v>
      </c>
      <c r="E199" t="s">
        <v>379</v>
      </c>
      <c r="G199" t="s">
        <v>550</v>
      </c>
      <c r="H199" s="13">
        <v>3896.81061</v>
      </c>
    </row>
    <row r="200" spans="1:8" x14ac:dyDescent="0.2">
      <c r="D200" t="s">
        <v>347</v>
      </c>
      <c r="E200" t="s">
        <v>380</v>
      </c>
      <c r="G200" t="s">
        <v>551</v>
      </c>
      <c r="H200" s="13">
        <v>50969.801599999999</v>
      </c>
    </row>
    <row r="201" spans="1:8" x14ac:dyDescent="0.2">
      <c r="D201" t="s">
        <v>161</v>
      </c>
      <c r="E201" t="s">
        <v>380</v>
      </c>
      <c r="G201" t="s">
        <v>411</v>
      </c>
      <c r="H201" s="13">
        <v>20053.956900000001</v>
      </c>
    </row>
    <row r="202" spans="1:8" x14ac:dyDescent="0.2">
      <c r="D202" t="s">
        <v>349</v>
      </c>
      <c r="E202" t="s">
        <v>376</v>
      </c>
      <c r="G202" t="s">
        <v>335</v>
      </c>
      <c r="H202" s="13">
        <v>88701.468999999997</v>
      </c>
    </row>
    <row r="203" spans="1:8" x14ac:dyDescent="0.2">
      <c r="D203" t="s">
        <v>455</v>
      </c>
      <c r="E203" t="s">
        <v>388</v>
      </c>
      <c r="G203" t="s">
        <v>337</v>
      </c>
      <c r="H203" s="13">
        <v>15503.551799999999</v>
      </c>
    </row>
    <row r="204" spans="1:8" x14ac:dyDescent="0.2">
      <c r="D204" t="s">
        <v>351</v>
      </c>
      <c r="E204" t="s">
        <v>379</v>
      </c>
      <c r="G204" t="s">
        <v>339</v>
      </c>
      <c r="H204" s="13">
        <v>15619.614299999999</v>
      </c>
    </row>
    <row r="205" spans="1:8" x14ac:dyDescent="0.2">
      <c r="D205" t="s">
        <v>353</v>
      </c>
      <c r="E205" t="s">
        <v>379</v>
      </c>
      <c r="G205" t="s">
        <v>157</v>
      </c>
      <c r="H205" s="13">
        <v>975.46932400000003</v>
      </c>
    </row>
    <row r="206" spans="1:8" x14ac:dyDescent="0.2">
      <c r="D206" t="s">
        <v>227</v>
      </c>
      <c r="E206" t="s">
        <v>382</v>
      </c>
      <c r="G206" t="s">
        <v>552</v>
      </c>
      <c r="H206" s="13">
        <v>2385.0834199999999</v>
      </c>
    </row>
    <row r="207" spans="1:8" x14ac:dyDescent="0.2">
      <c r="D207" t="s">
        <v>457</v>
      </c>
      <c r="E207" t="s">
        <v>380</v>
      </c>
      <c r="G207" t="s">
        <v>343</v>
      </c>
      <c r="H207" s="13">
        <v>38510.227599999998</v>
      </c>
    </row>
    <row r="208" spans="1:8" x14ac:dyDescent="0.2">
      <c r="D208" t="s">
        <v>101</v>
      </c>
      <c r="E208" t="s">
        <v>380</v>
      </c>
      <c r="G208" t="s">
        <v>163</v>
      </c>
      <c r="H208" s="13">
        <v>1046.2408399999999</v>
      </c>
    </row>
    <row r="209" spans="4:8" x14ac:dyDescent="0.2">
      <c r="D209" t="s">
        <v>458</v>
      </c>
      <c r="E209" t="s">
        <v>388</v>
      </c>
      <c r="G209" t="s">
        <v>159</v>
      </c>
      <c r="H209" s="13">
        <v>1574.02811</v>
      </c>
    </row>
    <row r="210" spans="4:8" x14ac:dyDescent="0.2">
      <c r="D210" t="s">
        <v>460</v>
      </c>
      <c r="E210" t="s">
        <v>380</v>
      </c>
      <c r="G210" t="s">
        <v>349</v>
      </c>
      <c r="H210" s="13">
        <v>90299.069499999998</v>
      </c>
    </row>
    <row r="211" spans="4:8" x14ac:dyDescent="0.2">
      <c r="D211" t="s">
        <v>355</v>
      </c>
      <c r="E211" t="s">
        <v>379</v>
      </c>
      <c r="G211" t="s">
        <v>227</v>
      </c>
      <c r="H211" s="13">
        <v>1877.7810400000001</v>
      </c>
    </row>
    <row r="212" spans="4:8" x14ac:dyDescent="0.2">
      <c r="D212" t="s">
        <v>103</v>
      </c>
      <c r="E212" t="s">
        <v>376</v>
      </c>
      <c r="G212" t="s">
        <v>161</v>
      </c>
      <c r="H212" s="13">
        <v>860.37106800000004</v>
      </c>
    </row>
    <row r="213" spans="4:8" x14ac:dyDescent="0.2">
      <c r="D213" t="s">
        <v>163</v>
      </c>
      <c r="E213" t="s">
        <v>380</v>
      </c>
      <c r="G213" t="s">
        <v>185</v>
      </c>
      <c r="H213" s="13">
        <v>5074.6021000000001</v>
      </c>
    </row>
    <row r="214" spans="4:8" x14ac:dyDescent="0.2">
      <c r="D214" t="s">
        <v>462</v>
      </c>
      <c r="E214" t="s">
        <v>388</v>
      </c>
      <c r="G214" t="s">
        <v>341</v>
      </c>
      <c r="H214" s="13">
        <v>54190.841800000002</v>
      </c>
    </row>
    <row r="215" spans="4:8" x14ac:dyDescent="0.2">
      <c r="D215" t="s">
        <v>463</v>
      </c>
      <c r="E215" t="s">
        <v>379</v>
      </c>
      <c r="G215" t="s">
        <v>457</v>
      </c>
      <c r="H215" s="13">
        <v>573.141166</v>
      </c>
    </row>
    <row r="216" spans="4:8" x14ac:dyDescent="0.2">
      <c r="D216" t="s">
        <v>357</v>
      </c>
      <c r="E216" t="s">
        <v>379</v>
      </c>
      <c r="G216" t="s">
        <v>345</v>
      </c>
      <c r="H216" s="13">
        <v>10024.819100000001</v>
      </c>
    </row>
    <row r="217" spans="4:8" x14ac:dyDescent="0.2">
      <c r="D217" t="s">
        <v>359</v>
      </c>
      <c r="E217" t="s">
        <v>379</v>
      </c>
      <c r="G217" t="s">
        <v>553</v>
      </c>
      <c r="H217" s="13">
        <v>1963.8033</v>
      </c>
    </row>
    <row r="218" spans="4:8" x14ac:dyDescent="0.2">
      <c r="D218" t="s">
        <v>229</v>
      </c>
      <c r="E218" t="s">
        <v>376</v>
      </c>
      <c r="G218" t="s">
        <v>460</v>
      </c>
      <c r="H218" s="13"/>
    </row>
    <row r="219" spans="4:8" x14ac:dyDescent="0.2">
      <c r="D219" t="s">
        <v>464</v>
      </c>
      <c r="E219" t="s">
        <v>377</v>
      </c>
      <c r="G219" t="s">
        <v>554</v>
      </c>
      <c r="H219" s="13">
        <v>1865.11635</v>
      </c>
    </row>
    <row r="220" spans="4:8" x14ac:dyDescent="0.2">
      <c r="D220" t="s">
        <v>231</v>
      </c>
      <c r="E220" t="s">
        <v>376</v>
      </c>
      <c r="G220" t="s">
        <v>555</v>
      </c>
      <c r="H220" s="13">
        <v>13636.4661</v>
      </c>
    </row>
    <row r="221" spans="4:8" x14ac:dyDescent="0.2">
      <c r="D221" t="s">
        <v>165</v>
      </c>
      <c r="E221" t="s">
        <v>380</v>
      </c>
      <c r="G221" t="s">
        <v>225</v>
      </c>
      <c r="H221" s="13">
        <v>2389.7372999999998</v>
      </c>
    </row>
    <row r="222" spans="4:8" x14ac:dyDescent="0.2">
      <c r="D222" t="s">
        <v>361</v>
      </c>
      <c r="E222" t="s">
        <v>376</v>
      </c>
      <c r="G222" t="s">
        <v>462</v>
      </c>
      <c r="H222" s="13">
        <v>6084.4387699999997</v>
      </c>
    </row>
    <row r="223" spans="4:8" x14ac:dyDescent="0.2">
      <c r="D223" t="s">
        <v>233</v>
      </c>
      <c r="E223" t="s">
        <v>376</v>
      </c>
      <c r="G223" t="s">
        <v>351</v>
      </c>
      <c r="H223" s="13">
        <v>21317.794399999999</v>
      </c>
    </row>
    <row r="224" spans="4:8" x14ac:dyDescent="0.2">
      <c r="D224" t="s">
        <v>167</v>
      </c>
      <c r="E224" t="s">
        <v>380</v>
      </c>
      <c r="G224" t="s">
        <v>353</v>
      </c>
      <c r="H224" s="13">
        <v>28360.304100000001</v>
      </c>
    </row>
    <row r="225" spans="4:8" x14ac:dyDescent="0.2">
      <c r="D225" t="s">
        <v>465</v>
      </c>
      <c r="E225" t="s">
        <v>382</v>
      </c>
      <c r="G225" t="s">
        <v>357</v>
      </c>
      <c r="H225" s="13">
        <v>54836.890700000004</v>
      </c>
    </row>
    <row r="226" spans="4:8" x14ac:dyDescent="0.2">
      <c r="D226" t="s">
        <v>105</v>
      </c>
      <c r="E226" t="s">
        <v>382</v>
      </c>
      <c r="G226" t="s">
        <v>189</v>
      </c>
      <c r="H226" s="13">
        <v>3894.16201</v>
      </c>
    </row>
    <row r="227" spans="4:8" x14ac:dyDescent="0.2">
      <c r="D227" t="s">
        <v>363</v>
      </c>
      <c r="E227" t="s">
        <v>388</v>
      </c>
      <c r="G227" t="s">
        <v>455</v>
      </c>
      <c r="H227" s="13">
        <v>37793.128400000001</v>
      </c>
    </row>
    <row r="228" spans="4:8" x14ac:dyDescent="0.2">
      <c r="D228" t="s">
        <v>107</v>
      </c>
      <c r="E228" t="s">
        <v>380</v>
      </c>
      <c r="G228" t="s">
        <v>347</v>
      </c>
      <c r="H228" s="13">
        <v>16836.672200000001</v>
      </c>
    </row>
    <row r="229" spans="4:8" x14ac:dyDescent="0.2">
      <c r="D229" t="s">
        <v>365</v>
      </c>
      <c r="E229" t="s">
        <v>376</v>
      </c>
      <c r="G229" t="s">
        <v>229</v>
      </c>
      <c r="H229" s="13">
        <v>1051.6714999999999</v>
      </c>
    </row>
    <row r="230" spans="4:8" x14ac:dyDescent="0.2">
      <c r="D230" t="s">
        <v>467</v>
      </c>
      <c r="E230" t="s">
        <v>376</v>
      </c>
      <c r="G230" t="s">
        <v>468</v>
      </c>
      <c r="H230" s="13">
        <v>31280.541799999999</v>
      </c>
    </row>
    <row r="231" spans="4:8" x14ac:dyDescent="0.2">
      <c r="D231" t="s">
        <v>468</v>
      </c>
      <c r="E231" t="s">
        <v>388</v>
      </c>
      <c r="G231" t="s">
        <v>137</v>
      </c>
      <c r="H231" s="13">
        <v>966.03646800000001</v>
      </c>
    </row>
    <row r="232" spans="4:8" x14ac:dyDescent="0.2">
      <c r="D232" t="s">
        <v>235</v>
      </c>
      <c r="E232" t="s">
        <v>382</v>
      </c>
      <c r="G232" t="s">
        <v>556</v>
      </c>
      <c r="H232" s="13">
        <v>10220.4774</v>
      </c>
    </row>
    <row r="233" spans="4:8" x14ac:dyDescent="0.2">
      <c r="D233" t="s">
        <v>237</v>
      </c>
      <c r="E233" t="s">
        <v>380</v>
      </c>
      <c r="G233" t="s">
        <v>557</v>
      </c>
      <c r="H233" s="13">
        <v>11421.136399999999</v>
      </c>
    </row>
    <row r="234" spans="4:8" x14ac:dyDescent="0.2">
      <c r="D234" t="s">
        <v>109</v>
      </c>
      <c r="E234" t="s">
        <v>379</v>
      </c>
      <c r="G234" t="s">
        <v>167</v>
      </c>
      <c r="H234" s="13">
        <v>951.23237900000004</v>
      </c>
    </row>
    <row r="235" spans="4:8" x14ac:dyDescent="0.2">
      <c r="D235" t="s">
        <v>367</v>
      </c>
      <c r="E235" t="s">
        <v>376</v>
      </c>
      <c r="G235" t="s">
        <v>361</v>
      </c>
      <c r="H235" s="13">
        <v>6909.3528200000001</v>
      </c>
    </row>
    <row r="236" spans="4:8" x14ac:dyDescent="0.2">
      <c r="D236" t="s">
        <v>369</v>
      </c>
      <c r="E236" t="s">
        <v>379</v>
      </c>
      <c r="G236" t="s">
        <v>231</v>
      </c>
      <c r="H236" s="13">
        <v>1052.17949</v>
      </c>
    </row>
    <row r="237" spans="4:8" x14ac:dyDescent="0.2">
      <c r="D237" t="s">
        <v>371</v>
      </c>
      <c r="E237" t="s">
        <v>388</v>
      </c>
      <c r="G237" t="s">
        <v>467</v>
      </c>
      <c r="H237" s="13">
        <v>5837.8422499999997</v>
      </c>
    </row>
    <row r="238" spans="4:8" x14ac:dyDescent="0.2">
      <c r="D238" t="s">
        <v>469</v>
      </c>
      <c r="E238" t="s">
        <v>382</v>
      </c>
      <c r="G238" t="s">
        <v>558</v>
      </c>
      <c r="H238" s="13">
        <v>9174.5568999999996</v>
      </c>
    </row>
    <row r="239" spans="4:8" x14ac:dyDescent="0.2">
      <c r="D239" t="s">
        <v>373</v>
      </c>
      <c r="E239" t="s">
        <v>388</v>
      </c>
      <c r="G239" t="s">
        <v>233</v>
      </c>
      <c r="H239" s="13">
        <v>2343.24955</v>
      </c>
    </row>
    <row r="240" spans="4:8" x14ac:dyDescent="0.2">
      <c r="D240" t="s">
        <v>111</v>
      </c>
      <c r="E240" t="s">
        <v>376</v>
      </c>
      <c r="G240" t="s">
        <v>559</v>
      </c>
      <c r="H240" s="13">
        <v>3010.1965700000001</v>
      </c>
    </row>
    <row r="241" spans="4:8" x14ac:dyDescent="0.2">
      <c r="D241" t="s">
        <v>471</v>
      </c>
      <c r="E241" t="s">
        <v>382</v>
      </c>
      <c r="G241" t="s">
        <v>105</v>
      </c>
      <c r="H241" s="13">
        <v>5298.0194199999996</v>
      </c>
    </row>
    <row r="242" spans="4:8" x14ac:dyDescent="0.2">
      <c r="D242" t="s">
        <v>239</v>
      </c>
      <c r="E242" t="s">
        <v>388</v>
      </c>
      <c r="G242" t="s">
        <v>560</v>
      </c>
      <c r="H242" s="13">
        <v>2385.0834199999999</v>
      </c>
    </row>
    <row r="243" spans="4:8" x14ac:dyDescent="0.2">
      <c r="D243" t="s">
        <v>113</v>
      </c>
      <c r="E243" t="s">
        <v>376</v>
      </c>
      <c r="G243" t="s">
        <v>561</v>
      </c>
      <c r="H243" s="13">
        <v>1865.11635</v>
      </c>
    </row>
    <row r="244" spans="4:8" x14ac:dyDescent="0.2">
      <c r="D244" t="s">
        <v>472</v>
      </c>
      <c r="E244" t="s">
        <v>388</v>
      </c>
      <c r="G244" t="s">
        <v>363</v>
      </c>
      <c r="H244" s="13">
        <v>20750.520199999999</v>
      </c>
    </row>
    <row r="245" spans="4:8" x14ac:dyDescent="0.2">
      <c r="D245" t="s">
        <v>473</v>
      </c>
      <c r="E245" t="s">
        <v>388</v>
      </c>
      <c r="G245" t="s">
        <v>107</v>
      </c>
      <c r="H245" s="13">
        <v>3707.2928299999999</v>
      </c>
    </row>
    <row r="246" spans="4:8" x14ac:dyDescent="0.2">
      <c r="D246" t="s">
        <v>474</v>
      </c>
      <c r="E246" t="s">
        <v>382</v>
      </c>
      <c r="G246" t="s">
        <v>365</v>
      </c>
      <c r="H246" s="13">
        <v>10897.8398</v>
      </c>
    </row>
    <row r="247" spans="4:8" x14ac:dyDescent="0.2">
      <c r="D247" t="s">
        <v>475</v>
      </c>
      <c r="E247" t="s">
        <v>380</v>
      </c>
      <c r="G247" t="s">
        <v>235</v>
      </c>
      <c r="H247" s="13">
        <v>5911.3272699999998</v>
      </c>
    </row>
    <row r="248" spans="4:8" x14ac:dyDescent="0.2">
      <c r="D248" t="s">
        <v>169</v>
      </c>
      <c r="E248" t="s">
        <v>376</v>
      </c>
      <c r="G248" t="s">
        <v>165</v>
      </c>
      <c r="H248" s="13">
        <v>1207.52063</v>
      </c>
    </row>
    <row r="249" spans="4:8" x14ac:dyDescent="0.2">
      <c r="D249" t="s">
        <v>241</v>
      </c>
      <c r="E249" t="s">
        <v>380</v>
      </c>
      <c r="G249" t="s">
        <v>237</v>
      </c>
      <c r="H249" s="13">
        <v>963.06731400000001</v>
      </c>
    </row>
    <row r="250" spans="4:8" x14ac:dyDescent="0.2">
      <c r="D250" t="s">
        <v>243</v>
      </c>
      <c r="E250" t="s">
        <v>380</v>
      </c>
      <c r="G250" t="s">
        <v>109</v>
      </c>
      <c r="H250" s="13">
        <v>4199.6709000000001</v>
      </c>
    </row>
    <row r="251" spans="4:8" x14ac:dyDescent="0.2">
      <c r="G251" t="s">
        <v>562</v>
      </c>
      <c r="H251" s="13">
        <v>10324.5193</v>
      </c>
    </row>
    <row r="252" spans="4:8" x14ac:dyDescent="0.2">
      <c r="G252" t="s">
        <v>373</v>
      </c>
      <c r="H252" s="13">
        <v>20818.614600000001</v>
      </c>
    </row>
    <row r="253" spans="4:8" x14ac:dyDescent="0.2">
      <c r="G253" t="s">
        <v>371</v>
      </c>
      <c r="H253" s="13">
        <v>76657.248900000006</v>
      </c>
    </row>
    <row r="254" spans="4:8" x14ac:dyDescent="0.2">
      <c r="G254" t="s">
        <v>111</v>
      </c>
      <c r="H254" s="13">
        <v>2578.66689</v>
      </c>
    </row>
    <row r="255" spans="4:8" x14ac:dyDescent="0.2">
      <c r="G255" t="s">
        <v>97</v>
      </c>
      <c r="H255" s="13">
        <v>9693.5586800000001</v>
      </c>
    </row>
    <row r="256" spans="4:8" x14ac:dyDescent="0.2">
      <c r="G256" t="s">
        <v>239</v>
      </c>
      <c r="H256" s="13">
        <v>3155.04207</v>
      </c>
    </row>
    <row r="257" spans="7:8" x14ac:dyDescent="0.2">
      <c r="G257" t="s">
        <v>472</v>
      </c>
      <c r="H257" s="13"/>
    </row>
    <row r="258" spans="7:8" x14ac:dyDescent="0.2">
      <c r="G258" t="s">
        <v>473</v>
      </c>
      <c r="H258" s="13">
        <v>44320.909200000002</v>
      </c>
    </row>
    <row r="259" spans="7:8" x14ac:dyDescent="0.2">
      <c r="G259" t="s">
        <v>113</v>
      </c>
      <c r="H259" s="13">
        <v>4147.6977699999998</v>
      </c>
    </row>
    <row r="260" spans="7:8" x14ac:dyDescent="0.2">
      <c r="G260" t="s">
        <v>471</v>
      </c>
      <c r="H260" s="13">
        <v>3370.2119200000002</v>
      </c>
    </row>
    <row r="261" spans="7:8" x14ac:dyDescent="0.2">
      <c r="G261" t="s">
        <v>563</v>
      </c>
      <c r="H261" s="13">
        <v>12798.165800000001</v>
      </c>
    </row>
    <row r="262" spans="7:8" x14ac:dyDescent="0.2">
      <c r="G262" t="s">
        <v>99</v>
      </c>
      <c r="H262" s="13">
        <v>4132.4471800000001</v>
      </c>
    </row>
    <row r="263" spans="7:8" x14ac:dyDescent="0.2">
      <c r="G263" t="s">
        <v>564</v>
      </c>
      <c r="H263" s="13">
        <v>5290.9500699999999</v>
      </c>
    </row>
    <row r="264" spans="7:8" x14ac:dyDescent="0.2">
      <c r="G264" t="s">
        <v>169</v>
      </c>
      <c r="H264" s="13"/>
    </row>
    <row r="265" spans="7:8" x14ac:dyDescent="0.2">
      <c r="G265" t="s">
        <v>101</v>
      </c>
      <c r="H265" s="13">
        <v>6534.2486799999997</v>
      </c>
    </row>
    <row r="266" spans="7:8" x14ac:dyDescent="0.2">
      <c r="G266" t="s">
        <v>241</v>
      </c>
      <c r="H266" s="13">
        <v>1447.1231</v>
      </c>
    </row>
    <row r="267" spans="7:8" x14ac:dyDescent="0.2">
      <c r="G267" t="s">
        <v>243</v>
      </c>
      <c r="H267" s="13">
        <v>2536.4005000000002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E3F2-67C6-4E64-9E47-13E32DF44A46}">
  <dimension ref="A1:AY176"/>
  <sheetViews>
    <sheetView topLeftCell="G29" zoomScale="118" zoomScaleNormal="118" workbookViewId="0">
      <selection activeCell="AM39" sqref="AM39"/>
    </sheetView>
  </sheetViews>
  <sheetFormatPr baseColWidth="10" defaultColWidth="8.83203125" defaultRowHeight="15" x14ac:dyDescent="0.2"/>
  <cols>
    <col min="26" max="26" width="9.6640625" bestFit="1" customWidth="1"/>
    <col min="27" max="27" width="20" bestFit="1" customWidth="1"/>
    <col min="32" max="32" width="15.6640625" bestFit="1" customWidth="1"/>
    <col min="34" max="34" width="12.6640625" bestFit="1" customWidth="1"/>
    <col min="35" max="35" width="12" customWidth="1"/>
    <col min="39" max="39" width="25.1640625" bestFit="1" customWidth="1"/>
    <col min="40" max="40" width="13.83203125" bestFit="1" customWidth="1"/>
    <col min="41" max="42" width="12.1640625" bestFit="1" customWidth="1"/>
    <col min="43" max="43" width="19" bestFit="1" customWidth="1"/>
    <col min="44" max="44" width="13.33203125" bestFit="1" customWidth="1"/>
    <col min="45" max="45" width="12.6640625" bestFit="1" customWidth="1"/>
    <col min="46" max="46" width="12.1640625" bestFit="1" customWidth="1"/>
    <col min="47" max="47" width="17.6640625" bestFit="1" customWidth="1"/>
    <col min="48" max="50" width="12.1640625" bestFit="1" customWidth="1"/>
    <col min="51" max="51" width="16.6640625" bestFit="1" customWidth="1"/>
  </cols>
  <sheetData>
    <row r="1" spans="1: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375</v>
      </c>
      <c r="AA1" s="1" t="s">
        <v>507</v>
      </c>
      <c r="AB1" s="1" t="s">
        <v>508</v>
      </c>
      <c r="AD1" s="1" t="s">
        <v>511</v>
      </c>
    </row>
    <row r="2" spans="1:51" x14ac:dyDescent="0.2">
      <c r="A2" s="6" t="s">
        <v>187</v>
      </c>
      <c r="B2" s="7" t="s">
        <v>188</v>
      </c>
      <c r="C2" s="8">
        <v>0.51100000000000001</v>
      </c>
      <c r="D2" s="8">
        <v>0.52400000000000002</v>
      </c>
      <c r="E2" s="8">
        <v>0.53900000000000003</v>
      </c>
      <c r="F2" s="8">
        <v>0.54500000000000004</v>
      </c>
      <c r="G2" s="8">
        <v>0.55600000000000005</v>
      </c>
      <c r="H2" s="8">
        <v>0.56999999999999995</v>
      </c>
      <c r="I2" s="8">
        <v>0.58699999999999997</v>
      </c>
      <c r="J2" s="8">
        <v>0.59899999999999998</v>
      </c>
      <c r="K2" s="8">
        <v>0.60599999999999998</v>
      </c>
      <c r="L2" s="8">
        <v>0.61299999999999999</v>
      </c>
      <c r="M2" s="8">
        <v>0.60899999999999999</v>
      </c>
      <c r="N2" s="8">
        <v>0.61799999999999999</v>
      </c>
      <c r="O2" s="8">
        <v>0.628</v>
      </c>
      <c r="P2" s="8">
        <v>0.63300000000000001</v>
      </c>
      <c r="Q2" s="8">
        <v>0.63900000000000001</v>
      </c>
      <c r="R2" s="8">
        <v>0.64800000000000002</v>
      </c>
      <c r="S2" s="8">
        <v>0.65</v>
      </c>
      <c r="T2" s="8">
        <v>0.65</v>
      </c>
      <c r="U2" s="8">
        <v>0.65200000000000002</v>
      </c>
      <c r="V2" s="8">
        <v>0.65300000000000002</v>
      </c>
      <c r="W2" s="8">
        <v>0.65</v>
      </c>
      <c r="X2" s="8">
        <v>0.64700000000000002</v>
      </c>
      <c r="Y2" s="9">
        <v>0.65</v>
      </c>
      <c r="Z2" t="s">
        <v>380</v>
      </c>
      <c r="AA2" t="s">
        <v>505</v>
      </c>
      <c r="AB2">
        <v>4</v>
      </c>
      <c r="AD2" cm="1">
        <f t="array" aca="1" ref="AD2:AD176" ca="1">_xlfn.SORTBY(_xlfn.SEQUENCE(175), _xlfn.RANDARRAY(175))</f>
        <v>172</v>
      </c>
      <c r="AF2" t="str" cm="1">
        <f t="array" ref="AF2:AF8">_xlfn.UNIQUE(Z2:Z176)</f>
        <v>Africa</v>
      </c>
      <c r="AG2">
        <f>COUNTIF($Z$2:$Z$176,AF2)</f>
        <v>48</v>
      </c>
      <c r="AH2" s="12">
        <f>(AG2/$AG$9)*150</f>
        <v>41.142857142857146</v>
      </c>
      <c r="AI2" s="15">
        <f>AG2/$AG$9</f>
        <v>0.2742857142857143</v>
      </c>
    </row>
    <row r="3" spans="1:51" x14ac:dyDescent="0.2">
      <c r="A3" s="2" t="s">
        <v>73</v>
      </c>
      <c r="B3" s="3" t="s">
        <v>74</v>
      </c>
      <c r="C3" s="4">
        <v>0.746</v>
      </c>
      <c r="D3" s="4">
        <v>0.748</v>
      </c>
      <c r="E3" s="4">
        <v>0.75</v>
      </c>
      <c r="F3" s="4">
        <v>0.755</v>
      </c>
      <c r="G3" s="4">
        <v>0.75800000000000001</v>
      </c>
      <c r="H3" s="4">
        <v>0.76400000000000001</v>
      </c>
      <c r="I3" s="4">
        <v>0.76800000000000002</v>
      </c>
      <c r="J3" s="4">
        <v>0.77100000000000002</v>
      </c>
      <c r="K3" s="4">
        <v>0.77300000000000002</v>
      </c>
      <c r="L3" s="4">
        <v>0.77200000000000002</v>
      </c>
      <c r="M3" s="4">
        <v>0.77400000000000002</v>
      </c>
      <c r="N3" s="4">
        <v>0.73399999999999999</v>
      </c>
      <c r="O3" s="4">
        <v>0.77700000000000002</v>
      </c>
      <c r="P3" s="4">
        <v>0.76600000000000001</v>
      </c>
      <c r="Q3" s="4">
        <v>0.75</v>
      </c>
      <c r="R3" s="4">
        <v>0.749</v>
      </c>
      <c r="S3" s="4">
        <v>0.746</v>
      </c>
      <c r="T3" s="4">
        <v>0.76100000000000001</v>
      </c>
      <c r="U3" s="4">
        <v>0.76400000000000001</v>
      </c>
      <c r="V3" s="4">
        <v>0.75600000000000001</v>
      </c>
      <c r="W3" s="4">
        <v>0.73699999999999999</v>
      </c>
      <c r="X3" s="4">
        <v>0.746</v>
      </c>
      <c r="Y3" s="5">
        <v>0.746</v>
      </c>
      <c r="Z3" t="s">
        <v>380</v>
      </c>
      <c r="AA3" t="s">
        <v>505</v>
      </c>
      <c r="AB3">
        <v>5</v>
      </c>
      <c r="AD3">
        <f ca="1"/>
        <v>103</v>
      </c>
      <c r="AF3" t="str">
        <v>Asia</v>
      </c>
      <c r="AG3">
        <f t="shared" ref="AG3:AG8" si="0">COUNTIF($Z$2:$Z$176,AF3)</f>
        <v>44</v>
      </c>
      <c r="AH3" s="12">
        <f t="shared" ref="AH3:AH8" si="1">(AG3/$AG$9)*150</f>
        <v>37.714285714285715</v>
      </c>
      <c r="AI3" s="15">
        <f t="shared" ref="AI3:AI8" si="2">AG3/$AG$9</f>
        <v>0.25142857142857145</v>
      </c>
      <c r="AM3" t="s">
        <v>582</v>
      </c>
      <c r="AN3" t="s">
        <v>584</v>
      </c>
      <c r="AO3" t="s">
        <v>504</v>
      </c>
      <c r="AP3" t="s">
        <v>585</v>
      </c>
      <c r="AQ3" t="s">
        <v>571</v>
      </c>
      <c r="AR3" t="s">
        <v>509</v>
      </c>
    </row>
    <row r="4" spans="1:51" x14ac:dyDescent="0.2">
      <c r="A4" s="6" t="s">
        <v>167</v>
      </c>
      <c r="B4" s="7" t="s">
        <v>168</v>
      </c>
      <c r="C4" s="8">
        <v>0.436</v>
      </c>
      <c r="D4" s="8">
        <v>0.439</v>
      </c>
      <c r="E4" s="8">
        <v>0.443</v>
      </c>
      <c r="F4" s="8">
        <v>0.44900000000000001</v>
      </c>
      <c r="G4" s="8">
        <v>0.44800000000000001</v>
      </c>
      <c r="H4" s="8">
        <v>0.44600000000000001</v>
      </c>
      <c r="I4" s="8">
        <v>0.45200000000000001</v>
      </c>
      <c r="J4" s="8">
        <v>0.44500000000000001</v>
      </c>
      <c r="K4" s="8">
        <v>0.45200000000000001</v>
      </c>
      <c r="L4" s="8">
        <v>0.46</v>
      </c>
      <c r="M4" s="8">
        <v>0.46899999999999997</v>
      </c>
      <c r="N4" s="8">
        <v>0.48299999999999998</v>
      </c>
      <c r="O4" s="8">
        <v>0.48699999999999999</v>
      </c>
      <c r="P4" s="8">
        <v>0.495</v>
      </c>
      <c r="Q4" s="8">
        <v>0.502</v>
      </c>
      <c r="R4" s="8">
        <v>0.51</v>
      </c>
      <c r="S4" s="8">
        <v>0.51500000000000001</v>
      </c>
      <c r="T4" s="8">
        <v>0.52200000000000002</v>
      </c>
      <c r="U4" s="8">
        <v>0.52800000000000002</v>
      </c>
      <c r="V4" s="8">
        <v>0.53600000000000003</v>
      </c>
      <c r="W4" s="8">
        <v>0.54</v>
      </c>
      <c r="X4" s="8">
        <v>0.54500000000000004</v>
      </c>
      <c r="Y4" s="9">
        <v>0.54700000000000004</v>
      </c>
      <c r="Z4" t="s">
        <v>380</v>
      </c>
      <c r="AA4" t="s">
        <v>505</v>
      </c>
      <c r="AB4">
        <v>6</v>
      </c>
      <c r="AD4">
        <f ca="1"/>
        <v>30</v>
      </c>
      <c r="AF4" t="str">
        <v>Australia</v>
      </c>
      <c r="AG4">
        <f t="shared" si="0"/>
        <v>1</v>
      </c>
      <c r="AH4" s="12">
        <f t="shared" si="1"/>
        <v>0.8571428571428571</v>
      </c>
      <c r="AI4" s="15">
        <f t="shared" si="2"/>
        <v>5.7142857142857143E-3</v>
      </c>
      <c r="AM4" t="s">
        <v>380</v>
      </c>
      <c r="AN4">
        <v>48</v>
      </c>
      <c r="AO4">
        <v>0</v>
      </c>
      <c r="AP4">
        <v>41</v>
      </c>
      <c r="AQ4">
        <f t="shared" ref="AQ4:AQ10" si="3">MIN(AO4,AP4)</f>
        <v>0</v>
      </c>
      <c r="AR4">
        <f t="shared" ref="AR4:AR10" si="4">AP4*AO4/AN4</f>
        <v>0</v>
      </c>
    </row>
    <row r="5" spans="1:51" x14ac:dyDescent="0.2">
      <c r="A5" s="2" t="s">
        <v>193</v>
      </c>
      <c r="B5" s="3" t="s">
        <v>194</v>
      </c>
      <c r="C5" s="4">
        <v>0.5</v>
      </c>
      <c r="D5" s="4">
        <v>0.499</v>
      </c>
      <c r="E5" s="4">
        <v>0.50600000000000001</v>
      </c>
      <c r="F5" s="4">
        <v>0.51</v>
      </c>
      <c r="G5" s="4">
        <v>0.51700000000000002</v>
      </c>
      <c r="H5" s="4">
        <v>0.52900000000000003</v>
      </c>
      <c r="I5" s="4">
        <v>0.53700000000000003</v>
      </c>
      <c r="J5" s="4">
        <v>0.54700000000000004</v>
      </c>
      <c r="K5" s="4">
        <v>0.55800000000000005</v>
      </c>
      <c r="L5" s="4">
        <v>0.56299999999999994</v>
      </c>
      <c r="M5" s="4">
        <v>0.57099999999999995</v>
      </c>
      <c r="N5" s="4">
        <v>0.57899999999999996</v>
      </c>
      <c r="O5" s="4">
        <v>0.58299999999999996</v>
      </c>
      <c r="P5" s="4">
        <v>0.58699999999999997</v>
      </c>
      <c r="Q5" s="4">
        <v>0.58199999999999996</v>
      </c>
      <c r="R5" s="4">
        <v>0.58599999999999997</v>
      </c>
      <c r="S5" s="4">
        <v>0.58599999999999997</v>
      </c>
      <c r="T5" s="4">
        <v>0.58499999999999996</v>
      </c>
      <c r="U5" s="4">
        <v>0.58899999999999997</v>
      </c>
      <c r="V5" s="4">
        <v>0.59899999999999998</v>
      </c>
      <c r="W5" s="4">
        <v>0.60099999999999998</v>
      </c>
      <c r="X5" s="4">
        <v>0.6</v>
      </c>
      <c r="Y5" s="5">
        <v>0.60199999999999998</v>
      </c>
      <c r="Z5" t="s">
        <v>380</v>
      </c>
      <c r="AA5" t="s">
        <v>505</v>
      </c>
      <c r="AB5">
        <v>14</v>
      </c>
      <c r="AD5">
        <f ca="1"/>
        <v>33</v>
      </c>
      <c r="AF5" t="str">
        <v>Europe</v>
      </c>
      <c r="AG5">
        <f t="shared" si="0"/>
        <v>40</v>
      </c>
      <c r="AH5" s="12">
        <f t="shared" si="1"/>
        <v>34.285714285714285</v>
      </c>
      <c r="AI5" s="15">
        <f t="shared" si="2"/>
        <v>0.22857142857142856</v>
      </c>
      <c r="AM5" t="s">
        <v>376</v>
      </c>
      <c r="AN5">
        <v>44</v>
      </c>
      <c r="AO5">
        <v>4</v>
      </c>
      <c r="AP5">
        <v>38</v>
      </c>
      <c r="AQ5">
        <f t="shared" si="3"/>
        <v>4</v>
      </c>
      <c r="AR5">
        <f t="shared" si="4"/>
        <v>3.4545454545454546</v>
      </c>
    </row>
    <row r="6" spans="1:51" x14ac:dyDescent="0.2">
      <c r="A6" s="6" t="s">
        <v>131</v>
      </c>
      <c r="B6" s="7" t="s">
        <v>132</v>
      </c>
      <c r="C6" s="8">
        <v>0.28599999999999998</v>
      </c>
      <c r="D6" s="8">
        <v>0.29899999999999999</v>
      </c>
      <c r="E6" s="8">
        <v>0.30499999999999999</v>
      </c>
      <c r="F6" s="8">
        <v>0.31</v>
      </c>
      <c r="G6" s="8">
        <v>0.32300000000000001</v>
      </c>
      <c r="H6" s="8">
        <v>0.34300000000000003</v>
      </c>
      <c r="I6" s="8">
        <v>0.35899999999999999</v>
      </c>
      <c r="J6" s="8">
        <v>0.376</v>
      </c>
      <c r="K6" s="8">
        <v>0.39100000000000001</v>
      </c>
      <c r="L6" s="8">
        <v>0.39900000000000002</v>
      </c>
      <c r="M6" s="8">
        <v>0.40899999999999997</v>
      </c>
      <c r="N6" s="8">
        <v>0.41899999999999998</v>
      </c>
      <c r="O6" s="8">
        <v>0.42599999999999999</v>
      </c>
      <c r="P6" s="8">
        <v>0.437</v>
      </c>
      <c r="Q6" s="8">
        <v>0.44500000000000001</v>
      </c>
      <c r="R6" s="8">
        <v>0.45500000000000002</v>
      </c>
      <c r="S6" s="8">
        <v>0.46500000000000002</v>
      </c>
      <c r="T6" s="8">
        <v>0.47199999999999998</v>
      </c>
      <c r="U6" s="8">
        <v>0.47899999999999998</v>
      </c>
      <c r="V6" s="8">
        <v>0.48499999999999999</v>
      </c>
      <c r="W6" s="8">
        <v>0.48899999999999999</v>
      </c>
      <c r="X6" s="8">
        <v>0.48899999999999999</v>
      </c>
      <c r="Y6" s="9">
        <v>0.49199999999999999</v>
      </c>
      <c r="Z6" t="s">
        <v>380</v>
      </c>
      <c r="AA6" t="s">
        <v>505</v>
      </c>
      <c r="AB6">
        <v>17</v>
      </c>
      <c r="AD6">
        <f ca="1"/>
        <v>95</v>
      </c>
      <c r="AF6" t="str">
        <v>North America</v>
      </c>
      <c r="AG6">
        <f t="shared" si="0"/>
        <v>21</v>
      </c>
      <c r="AH6" s="12">
        <f t="shared" si="1"/>
        <v>18</v>
      </c>
      <c r="AI6" s="15">
        <f t="shared" si="2"/>
        <v>0.12</v>
      </c>
      <c r="AM6" t="s">
        <v>248</v>
      </c>
      <c r="AN6">
        <v>1</v>
      </c>
      <c r="AO6">
        <v>1</v>
      </c>
      <c r="AP6">
        <v>1</v>
      </c>
      <c r="AQ6">
        <f t="shared" si="3"/>
        <v>1</v>
      </c>
      <c r="AR6">
        <f t="shared" si="4"/>
        <v>1</v>
      </c>
    </row>
    <row r="7" spans="1:51" x14ac:dyDescent="0.2">
      <c r="A7" s="2" t="s">
        <v>137</v>
      </c>
      <c r="B7" s="3" t="s">
        <v>138</v>
      </c>
      <c r="C7" s="4">
        <v>0.29199999999999998</v>
      </c>
      <c r="D7" s="4">
        <v>0.30199999999999999</v>
      </c>
      <c r="E7" s="4">
        <v>0.309</v>
      </c>
      <c r="F7" s="4">
        <v>0.309</v>
      </c>
      <c r="G7" s="4">
        <v>0.32700000000000001</v>
      </c>
      <c r="H7" s="4">
        <v>0.32900000000000001</v>
      </c>
      <c r="I7" s="4">
        <v>0.32800000000000001</v>
      </c>
      <c r="J7" s="4">
        <v>0.33900000000000002</v>
      </c>
      <c r="K7" s="4">
        <v>0.34300000000000003</v>
      </c>
      <c r="L7" s="4">
        <v>0.35699999999999998</v>
      </c>
      <c r="M7" s="4">
        <v>0.36399999999999999</v>
      </c>
      <c r="N7" s="4">
        <v>0.373</v>
      </c>
      <c r="O7" s="4">
        <v>0.38100000000000001</v>
      </c>
      <c r="P7" s="4">
        <v>0.38500000000000001</v>
      </c>
      <c r="Q7" s="4">
        <v>0.39200000000000002</v>
      </c>
      <c r="R7" s="4">
        <v>0.38800000000000001</v>
      </c>
      <c r="S7" s="4">
        <v>0.38800000000000001</v>
      </c>
      <c r="T7" s="4">
        <v>0.38900000000000001</v>
      </c>
      <c r="U7" s="4">
        <v>0.39300000000000002</v>
      </c>
      <c r="V7" s="4">
        <v>0.39800000000000002</v>
      </c>
      <c r="W7" s="4">
        <v>0.39600000000000002</v>
      </c>
      <c r="X7" s="4">
        <v>0.39300000000000002</v>
      </c>
      <c r="Y7" s="5">
        <v>0.39400000000000002</v>
      </c>
      <c r="Z7" t="s">
        <v>380</v>
      </c>
      <c r="AA7" t="s">
        <v>505</v>
      </c>
      <c r="AB7">
        <v>19</v>
      </c>
      <c r="AD7">
        <f ca="1"/>
        <v>146</v>
      </c>
      <c r="AF7" t="str">
        <v>Oceania</v>
      </c>
      <c r="AG7">
        <f t="shared" si="0"/>
        <v>10</v>
      </c>
      <c r="AH7" s="12">
        <f t="shared" si="1"/>
        <v>8.5714285714285712</v>
      </c>
      <c r="AI7" s="15">
        <f t="shared" si="2"/>
        <v>5.7142857142857141E-2</v>
      </c>
      <c r="AM7" t="s">
        <v>379</v>
      </c>
      <c r="AN7">
        <v>40</v>
      </c>
      <c r="AO7">
        <v>24</v>
      </c>
      <c r="AP7">
        <v>34</v>
      </c>
      <c r="AQ7">
        <f t="shared" si="3"/>
        <v>24</v>
      </c>
      <c r="AR7">
        <f t="shared" si="4"/>
        <v>20.399999999999999</v>
      </c>
    </row>
    <row r="8" spans="1:51" x14ac:dyDescent="0.2">
      <c r="A8" s="2" t="s">
        <v>213</v>
      </c>
      <c r="B8" s="3" t="s">
        <v>214</v>
      </c>
      <c r="C8" s="4">
        <v>0.52500000000000002</v>
      </c>
      <c r="D8" s="4">
        <v>0.53600000000000003</v>
      </c>
      <c r="E8" s="4">
        <v>0.54700000000000004</v>
      </c>
      <c r="F8" s="4">
        <v>0.55700000000000005</v>
      </c>
      <c r="G8" s="4">
        <v>0.56399999999999995</v>
      </c>
      <c r="H8" s="4">
        <v>0.56999999999999995</v>
      </c>
      <c r="I8" s="4">
        <v>0.57599999999999996</v>
      </c>
      <c r="J8" s="4">
        <v>0.58299999999999996</v>
      </c>
      <c r="K8" s="4">
        <v>0.59</v>
      </c>
      <c r="L8" s="4">
        <v>0.59599999999999997</v>
      </c>
      <c r="M8" s="4">
        <v>0.60399999999999998</v>
      </c>
      <c r="N8" s="4">
        <v>0.61599999999999999</v>
      </c>
      <c r="O8" s="4">
        <v>0.626</v>
      </c>
      <c r="P8" s="4">
        <v>0.63600000000000001</v>
      </c>
      <c r="Q8" s="4">
        <v>0.64500000000000002</v>
      </c>
      <c r="R8" s="4">
        <v>0.65600000000000003</v>
      </c>
      <c r="S8" s="4">
        <v>0.66200000000000003</v>
      </c>
      <c r="T8" s="4">
        <v>0.67100000000000004</v>
      </c>
      <c r="U8" s="4">
        <v>0.67700000000000005</v>
      </c>
      <c r="V8" s="4">
        <v>0.68400000000000005</v>
      </c>
      <c r="W8" s="4">
        <v>0.68300000000000005</v>
      </c>
      <c r="X8" s="4">
        <v>0.68799999999999994</v>
      </c>
      <c r="Y8" s="5">
        <v>0.69799999999999995</v>
      </c>
      <c r="Z8" t="s">
        <v>380</v>
      </c>
      <c r="AA8" t="s">
        <v>505</v>
      </c>
      <c r="AB8">
        <v>25</v>
      </c>
      <c r="AD8">
        <f ca="1"/>
        <v>115</v>
      </c>
      <c r="AF8" t="str">
        <v>South America</v>
      </c>
      <c r="AG8">
        <f t="shared" si="0"/>
        <v>11</v>
      </c>
      <c r="AH8" s="12">
        <f t="shared" si="1"/>
        <v>9.4285714285714288</v>
      </c>
      <c r="AI8" s="15">
        <f t="shared" si="2"/>
        <v>6.2857142857142861E-2</v>
      </c>
      <c r="AM8" t="s">
        <v>570</v>
      </c>
      <c r="AN8">
        <v>21</v>
      </c>
      <c r="AO8">
        <v>2</v>
      </c>
      <c r="AP8">
        <v>18</v>
      </c>
      <c r="AQ8">
        <f t="shared" si="3"/>
        <v>2</v>
      </c>
      <c r="AR8">
        <f t="shared" si="4"/>
        <v>1.7142857142857142</v>
      </c>
    </row>
    <row r="9" spans="1:51" x14ac:dyDescent="0.2">
      <c r="A9" s="6" t="s">
        <v>139</v>
      </c>
      <c r="B9" s="7" t="s">
        <v>140</v>
      </c>
      <c r="C9" s="8">
        <v>0.45600000000000002</v>
      </c>
      <c r="D9" s="8">
        <v>0.45200000000000001</v>
      </c>
      <c r="E9" s="8">
        <v>0.44900000000000001</v>
      </c>
      <c r="F9" s="8">
        <v>0.45</v>
      </c>
      <c r="G9" s="8">
        <v>0.44800000000000001</v>
      </c>
      <c r="H9" s="8">
        <v>0.44700000000000001</v>
      </c>
      <c r="I9" s="8">
        <v>0.44400000000000001</v>
      </c>
      <c r="J9" s="8">
        <v>0.45</v>
      </c>
      <c r="K9" s="8">
        <v>0.45300000000000001</v>
      </c>
      <c r="L9" s="8">
        <v>0.45700000000000002</v>
      </c>
      <c r="M9" s="8">
        <v>0.47</v>
      </c>
      <c r="N9" s="8">
        <v>0.47799999999999998</v>
      </c>
      <c r="O9" s="8">
        <v>0.48899999999999999</v>
      </c>
      <c r="P9" s="8">
        <v>0.49399999999999999</v>
      </c>
      <c r="Q9" s="8">
        <v>0.5</v>
      </c>
      <c r="R9" s="8">
        <v>0.50800000000000001</v>
      </c>
      <c r="S9" s="8">
        <v>0.51800000000000002</v>
      </c>
      <c r="T9" s="8">
        <v>0.52200000000000002</v>
      </c>
      <c r="U9" s="8">
        <v>0.52500000000000002</v>
      </c>
      <c r="V9" s="8">
        <v>0.52800000000000002</v>
      </c>
      <c r="W9" s="8">
        <v>0.53</v>
      </c>
      <c r="X9" s="8">
        <v>0.52200000000000002</v>
      </c>
      <c r="Y9" s="9">
        <v>0.52100000000000002</v>
      </c>
      <c r="Z9" t="s">
        <v>380</v>
      </c>
      <c r="AA9" t="s">
        <v>505</v>
      </c>
      <c r="AB9">
        <v>30</v>
      </c>
      <c r="AD9">
        <f ca="1"/>
        <v>15</v>
      </c>
      <c r="AG9">
        <f>SUM(AG2:AG8)</f>
        <v>175</v>
      </c>
      <c r="AH9" s="12">
        <f>SUM(AH2:AH8)</f>
        <v>150</v>
      </c>
      <c r="AI9" s="17">
        <f>SUM(AI2:AI8)</f>
        <v>1</v>
      </c>
      <c r="AM9" t="s">
        <v>382</v>
      </c>
      <c r="AN9">
        <v>10</v>
      </c>
      <c r="AO9">
        <v>1</v>
      </c>
      <c r="AP9">
        <v>9</v>
      </c>
      <c r="AQ9">
        <f t="shared" si="3"/>
        <v>1</v>
      </c>
      <c r="AR9">
        <f t="shared" si="4"/>
        <v>0.9</v>
      </c>
    </row>
    <row r="10" spans="1:51" x14ac:dyDescent="0.2">
      <c r="A10" s="6" t="s">
        <v>163</v>
      </c>
      <c r="B10" s="7" t="s">
        <v>164</v>
      </c>
      <c r="C10" s="8">
        <v>0.42</v>
      </c>
      <c r="D10" s="8">
        <v>0.42799999999999999</v>
      </c>
      <c r="E10" s="8">
        <v>0.434</v>
      </c>
      <c r="F10" s="8">
        <v>0.438</v>
      </c>
      <c r="G10" s="8">
        <v>0.441</v>
      </c>
      <c r="H10" s="8">
        <v>0.44800000000000001</v>
      </c>
      <c r="I10" s="8">
        <v>0.46600000000000003</v>
      </c>
      <c r="J10" s="8">
        <v>0.47199999999999998</v>
      </c>
      <c r="K10" s="8">
        <v>0.48</v>
      </c>
      <c r="L10" s="8">
        <v>0.48899999999999999</v>
      </c>
      <c r="M10" s="8">
        <v>0.48899999999999999</v>
      </c>
      <c r="N10" s="8">
        <v>0.49099999999999999</v>
      </c>
      <c r="O10" s="8">
        <v>0.498</v>
      </c>
      <c r="P10" s="8">
        <v>0.503</v>
      </c>
      <c r="Q10" s="8">
        <v>0.51100000000000001</v>
      </c>
      <c r="R10" s="8">
        <v>0.51400000000000001</v>
      </c>
      <c r="S10" s="8">
        <v>0.51700000000000002</v>
      </c>
      <c r="T10" s="8">
        <v>0.52</v>
      </c>
      <c r="U10" s="8">
        <v>0.52</v>
      </c>
      <c r="V10" s="8">
        <v>0.52100000000000002</v>
      </c>
      <c r="W10" s="8">
        <v>0.51800000000000002</v>
      </c>
      <c r="X10" s="8">
        <v>0.51600000000000001</v>
      </c>
      <c r="Y10" s="9">
        <v>0.51600000000000001</v>
      </c>
      <c r="Z10" t="s">
        <v>380</v>
      </c>
      <c r="AA10" t="s">
        <v>505</v>
      </c>
      <c r="AB10">
        <v>32</v>
      </c>
      <c r="AD10">
        <f ca="1"/>
        <v>75</v>
      </c>
      <c r="AM10" t="s">
        <v>569</v>
      </c>
      <c r="AN10">
        <v>11</v>
      </c>
      <c r="AO10">
        <v>0</v>
      </c>
      <c r="AP10">
        <v>9</v>
      </c>
      <c r="AQ10">
        <f t="shared" si="3"/>
        <v>0</v>
      </c>
      <c r="AR10">
        <f t="shared" si="4"/>
        <v>0</v>
      </c>
    </row>
    <row r="11" spans="1:51" x14ac:dyDescent="0.2">
      <c r="A11" s="2" t="s">
        <v>237</v>
      </c>
      <c r="B11" s="3" t="s">
        <v>238</v>
      </c>
      <c r="C11" s="4">
        <v>0.39200000000000002</v>
      </c>
      <c r="D11" s="4">
        <v>0.40200000000000002</v>
      </c>
      <c r="E11" s="4">
        <v>0.41399999999999998</v>
      </c>
      <c r="F11" s="4">
        <v>0.42699999999999999</v>
      </c>
      <c r="G11" s="4">
        <v>0.441</v>
      </c>
      <c r="H11" s="4">
        <v>0.45100000000000001</v>
      </c>
      <c r="I11" s="4">
        <v>0.46300000000000002</v>
      </c>
      <c r="J11" s="4">
        <v>0.47299999999999998</v>
      </c>
      <c r="K11" s="4">
        <v>0.48099999999999998</v>
      </c>
      <c r="L11" s="4">
        <v>0.49099999999999999</v>
      </c>
      <c r="M11" s="4">
        <v>0.5</v>
      </c>
      <c r="N11" s="4">
        <v>0.504</v>
      </c>
      <c r="O11" s="4">
        <v>0.504</v>
      </c>
      <c r="P11" s="4">
        <v>0.51100000000000001</v>
      </c>
      <c r="Q11" s="4">
        <v>0.51800000000000002</v>
      </c>
      <c r="R11" s="4">
        <v>0.52500000000000002</v>
      </c>
      <c r="S11" s="4">
        <v>0.53100000000000003</v>
      </c>
      <c r="T11" s="4">
        <v>0.53400000000000003</v>
      </c>
      <c r="U11" s="4">
        <v>0.53900000000000003</v>
      </c>
      <c r="V11" s="4">
        <v>0.54400000000000004</v>
      </c>
      <c r="W11" s="4">
        <v>0.54500000000000004</v>
      </c>
      <c r="X11" s="4">
        <v>0.54500000000000004</v>
      </c>
      <c r="Y11" s="5">
        <v>0.55000000000000004</v>
      </c>
      <c r="Z11" t="s">
        <v>380</v>
      </c>
      <c r="AA11" t="s">
        <v>505</v>
      </c>
      <c r="AB11">
        <v>33</v>
      </c>
      <c r="AD11">
        <f ca="1"/>
        <v>162</v>
      </c>
      <c r="AF11" t="str" cm="1">
        <f t="array" ref="AF11:AF17">_xlfn.UNIQUE(Z2:Z176)</f>
        <v>Africa</v>
      </c>
      <c r="AG11">
        <f>COUNTIFS($Z$2:$Z$176, AF11, $AA$2:$AA$176, "Advanced")</f>
        <v>0</v>
      </c>
      <c r="AM11" t="s">
        <v>583</v>
      </c>
      <c r="AN11">
        <f>SUM(AN4:AN10)</f>
        <v>175</v>
      </c>
      <c r="AO11">
        <f>SUM(AO4:AO10)</f>
        <v>32</v>
      </c>
      <c r="AP11">
        <f>SUM(AP4:AP10)</f>
        <v>150</v>
      </c>
      <c r="AQ11">
        <f>SUM(AQ4:AQ10)</f>
        <v>32</v>
      </c>
      <c r="AR11">
        <f>SUM(AR4:AR10)</f>
        <v>27.468831168831166</v>
      </c>
    </row>
    <row r="12" spans="1:51" x14ac:dyDescent="0.2">
      <c r="A12" s="2" t="s">
        <v>53</v>
      </c>
      <c r="B12" s="3" t="s">
        <v>54</v>
      </c>
      <c r="C12" s="4">
        <v>0.629</v>
      </c>
      <c r="D12" s="4">
        <v>0.63300000000000001</v>
      </c>
      <c r="E12" s="4">
        <v>0.63400000000000001</v>
      </c>
      <c r="F12" s="4">
        <v>0.63200000000000001</v>
      </c>
      <c r="G12" s="4">
        <v>0.63500000000000001</v>
      </c>
      <c r="H12" s="4">
        <v>0.63700000000000001</v>
      </c>
      <c r="I12" s="4">
        <v>0.64200000000000002</v>
      </c>
      <c r="J12" s="4">
        <v>0.64900000000000002</v>
      </c>
      <c r="K12" s="4">
        <v>0.65600000000000003</v>
      </c>
      <c r="L12" s="4">
        <v>0.66100000000000003</v>
      </c>
      <c r="M12" s="4">
        <v>0.66700000000000004</v>
      </c>
      <c r="N12" s="4">
        <v>0.67100000000000004</v>
      </c>
      <c r="O12" s="4">
        <v>0.67900000000000005</v>
      </c>
      <c r="P12" s="4">
        <v>0.68400000000000005</v>
      </c>
      <c r="Q12" s="4">
        <v>0.68799999999999994</v>
      </c>
      <c r="R12" s="4">
        <v>0.69499999999999995</v>
      </c>
      <c r="S12" s="4">
        <v>0.70199999999999996</v>
      </c>
      <c r="T12" s="4">
        <v>0.70899999999999996</v>
      </c>
      <c r="U12" s="4">
        <v>0.71699999999999997</v>
      </c>
      <c r="V12" s="4">
        <v>0.72399999999999998</v>
      </c>
      <c r="W12" s="4">
        <v>0.72899999999999998</v>
      </c>
      <c r="X12" s="4">
        <v>0.72599999999999998</v>
      </c>
      <c r="Y12" s="5">
        <v>0.72799999999999998</v>
      </c>
      <c r="Z12" t="s">
        <v>380</v>
      </c>
      <c r="AA12" t="s">
        <v>505</v>
      </c>
      <c r="AB12">
        <v>34</v>
      </c>
      <c r="AD12">
        <f ca="1"/>
        <v>149</v>
      </c>
      <c r="AF12" t="str">
        <v>Asia</v>
      </c>
      <c r="AG12">
        <f t="shared" ref="AG12:AG17" si="5">COUNTIFS($Z$2:$Z$176, AF12, $AA$2:$AA$176, "Advanced")</f>
        <v>4</v>
      </c>
    </row>
    <row r="13" spans="1:51" x14ac:dyDescent="0.2">
      <c r="A13" s="6" t="s">
        <v>151</v>
      </c>
      <c r="B13" s="7" t="s">
        <v>152</v>
      </c>
      <c r="C13" s="8">
        <v>0.30299999999999999</v>
      </c>
      <c r="D13" s="8">
        <v>0.317</v>
      </c>
      <c r="E13" s="8">
        <v>0.32500000000000001</v>
      </c>
      <c r="F13" s="8">
        <v>0.33900000000000002</v>
      </c>
      <c r="G13" s="8">
        <v>0.34899999999999998</v>
      </c>
      <c r="H13" s="8">
        <v>0.35899999999999999</v>
      </c>
      <c r="I13" s="8">
        <v>0.36699999999999999</v>
      </c>
      <c r="J13" s="8">
        <v>0.38</v>
      </c>
      <c r="K13" s="8">
        <v>0.39100000000000001</v>
      </c>
      <c r="L13" s="8">
        <v>0.4</v>
      </c>
      <c r="M13" s="8">
        <v>0.40699999999999997</v>
      </c>
      <c r="N13" s="8">
        <v>0.41199999999999998</v>
      </c>
      <c r="O13" s="8">
        <v>0.41799999999999998</v>
      </c>
      <c r="P13" s="8">
        <v>0.432</v>
      </c>
      <c r="Q13" s="8">
        <v>0.438</v>
      </c>
      <c r="R13" s="8">
        <v>0.44500000000000001</v>
      </c>
      <c r="S13" s="8">
        <v>0.44800000000000001</v>
      </c>
      <c r="T13" s="8">
        <v>0.45</v>
      </c>
      <c r="U13" s="8">
        <v>0.45800000000000002</v>
      </c>
      <c r="V13" s="8">
        <v>0.46500000000000002</v>
      </c>
      <c r="W13" s="8">
        <v>0.46700000000000003</v>
      </c>
      <c r="X13" s="8">
        <v>0.45900000000000002</v>
      </c>
      <c r="Y13" s="9">
        <v>0.46100000000000002</v>
      </c>
      <c r="Z13" t="s">
        <v>380</v>
      </c>
      <c r="AA13" t="s">
        <v>505</v>
      </c>
      <c r="AB13">
        <v>37</v>
      </c>
      <c r="AD13">
        <f ca="1"/>
        <v>92</v>
      </c>
      <c r="AF13" t="str">
        <v>Australia</v>
      </c>
      <c r="AG13">
        <f t="shared" si="5"/>
        <v>1</v>
      </c>
      <c r="AM13" t="s">
        <v>586</v>
      </c>
    </row>
    <row r="14" spans="1:51" x14ac:dyDescent="0.2">
      <c r="A14" s="6" t="s">
        <v>123</v>
      </c>
      <c r="B14" s="7" t="s">
        <v>124</v>
      </c>
      <c r="C14" s="8">
        <v>0.31900000000000001</v>
      </c>
      <c r="D14" s="8">
        <v>0.32100000000000001</v>
      </c>
      <c r="E14" s="8">
        <v>0.32200000000000001</v>
      </c>
      <c r="F14" s="8">
        <v>0.32200000000000001</v>
      </c>
      <c r="G14" s="8">
        <v>0.32600000000000001</v>
      </c>
      <c r="H14" s="8">
        <v>0.33</v>
      </c>
      <c r="I14" s="8">
        <v>0.33300000000000002</v>
      </c>
      <c r="J14" s="8">
        <v>0.33900000000000002</v>
      </c>
      <c r="K14" s="8">
        <v>0.34499999999999997</v>
      </c>
      <c r="L14" s="8">
        <v>0.35</v>
      </c>
      <c r="M14" s="8">
        <v>0.35699999999999998</v>
      </c>
      <c r="N14" s="8">
        <v>0.36499999999999999</v>
      </c>
      <c r="O14" s="8">
        <v>0.372</v>
      </c>
      <c r="P14" s="8">
        <v>0.35199999999999998</v>
      </c>
      <c r="Q14" s="8">
        <v>0.35399999999999998</v>
      </c>
      <c r="R14" s="8">
        <v>0.36699999999999999</v>
      </c>
      <c r="S14" s="8">
        <v>0.373</v>
      </c>
      <c r="T14" s="8">
        <v>0.379</v>
      </c>
      <c r="U14" s="8">
        <v>0.38600000000000001</v>
      </c>
      <c r="V14" s="8">
        <v>0.39100000000000001</v>
      </c>
      <c r="W14" s="8">
        <v>0.38900000000000001</v>
      </c>
      <c r="X14" s="8">
        <v>0.38700000000000001</v>
      </c>
      <c r="Y14" s="9">
        <v>0.38700000000000001</v>
      </c>
      <c r="Z14" t="s">
        <v>380</v>
      </c>
      <c r="AA14" t="s">
        <v>505</v>
      </c>
      <c r="AB14">
        <v>38</v>
      </c>
      <c r="AD14">
        <f ca="1"/>
        <v>158</v>
      </c>
      <c r="AF14" t="str">
        <v>Europe</v>
      </c>
      <c r="AG14">
        <f t="shared" si="5"/>
        <v>24</v>
      </c>
      <c r="AM14" t="s">
        <v>572</v>
      </c>
      <c r="AN14" t="s">
        <v>380</v>
      </c>
      <c r="AO14" t="s">
        <v>376</v>
      </c>
      <c r="AP14" t="s">
        <v>248</v>
      </c>
      <c r="AQ14" t="s">
        <v>379</v>
      </c>
      <c r="AR14" t="s">
        <v>573</v>
      </c>
      <c r="AS14" t="s">
        <v>382</v>
      </c>
      <c r="AT14" t="s">
        <v>574</v>
      </c>
      <c r="AU14" t="s">
        <v>575</v>
      </c>
      <c r="AV14" t="s">
        <v>576</v>
      </c>
      <c r="AW14" t="s">
        <v>577</v>
      </c>
      <c r="AX14" t="s">
        <v>578</v>
      </c>
      <c r="AY14" t="s">
        <v>587</v>
      </c>
    </row>
    <row r="15" spans="1:51" x14ac:dyDescent="0.2">
      <c r="A15" s="2" t="s">
        <v>205</v>
      </c>
      <c r="B15" s="3" t="s">
        <v>206</v>
      </c>
      <c r="C15" s="4">
        <v>0.48699999999999999</v>
      </c>
      <c r="D15" s="4">
        <v>0.49</v>
      </c>
      <c r="E15" s="4">
        <v>0.49</v>
      </c>
      <c r="F15" s="4">
        <v>0.501</v>
      </c>
      <c r="G15" s="4">
        <v>0.51300000000000001</v>
      </c>
      <c r="H15" s="4">
        <v>0.52100000000000002</v>
      </c>
      <c r="I15" s="4">
        <v>0.53100000000000003</v>
      </c>
      <c r="J15" s="4">
        <v>0.54</v>
      </c>
      <c r="K15" s="4">
        <v>0.54600000000000004</v>
      </c>
      <c r="L15" s="4">
        <v>0.54600000000000004</v>
      </c>
      <c r="M15" s="4">
        <v>0.54500000000000004</v>
      </c>
      <c r="N15" s="4">
        <v>0.55200000000000005</v>
      </c>
      <c r="O15" s="4">
        <v>0.55700000000000005</v>
      </c>
      <c r="P15" s="4">
        <v>0.56200000000000006</v>
      </c>
      <c r="Q15" s="4">
        <v>0.56899999999999995</v>
      </c>
      <c r="R15" s="4">
        <v>0.57499999999999996</v>
      </c>
      <c r="S15" s="4">
        <v>0.58599999999999997</v>
      </c>
      <c r="T15" s="4">
        <v>0.59099999999999997</v>
      </c>
      <c r="U15" s="4">
        <v>0.59799999999999998</v>
      </c>
      <c r="V15" s="4">
        <v>0.60399999999999998</v>
      </c>
      <c r="W15" s="4">
        <v>0.59899999999999998</v>
      </c>
      <c r="X15" s="4">
        <v>0.59599999999999997</v>
      </c>
      <c r="Y15" s="5">
        <v>0.60099999999999998</v>
      </c>
      <c r="Z15" t="s">
        <v>380</v>
      </c>
      <c r="AA15" t="s">
        <v>505</v>
      </c>
      <c r="AB15">
        <v>45</v>
      </c>
      <c r="AD15">
        <f ca="1"/>
        <v>17</v>
      </c>
      <c r="AF15" t="str">
        <v>North America</v>
      </c>
      <c r="AG15">
        <f t="shared" si="5"/>
        <v>2</v>
      </c>
      <c r="AM15">
        <v>0</v>
      </c>
      <c r="AN15">
        <f>IF(0=0,1,0)</f>
        <v>1</v>
      </c>
      <c r="AO15">
        <f>IF(0&lt;=MIN(AP5,AO5),_xlfn.HYPGEOM.DIST(0,AP5,AO5,AN5,0),0)</f>
        <v>1.1049642359908951E-4</v>
      </c>
      <c r="AP15">
        <f>0</f>
        <v>0</v>
      </c>
      <c r="AQ15">
        <f>IF(0&lt;=MIN(AP7,AO7),_xlfn.HYPGEOM.DIST(0,AP7,AO7,AN7,0),0)</f>
        <v>0</v>
      </c>
      <c r="AR15">
        <f>IF(0&lt;=MIN(AP8,AO8),_xlfn.HYPGEOM.DIST(0,AP8,AO8,AN8,0),0)</f>
        <v>1.428571428571428E-2</v>
      </c>
      <c r="AS15">
        <f>IF(0&lt;=MIN(AP9,AO9),_xlfn.HYPGEOM.DIST(0,AP9,AO9,AN9,0),0)</f>
        <v>9.9999999999999992E-2</v>
      </c>
      <c r="AT15">
        <f>IF(0=0,1,0)</f>
        <v>1</v>
      </c>
      <c r="AU15">
        <f>AQ15*AO15</f>
        <v>0</v>
      </c>
      <c r="AV15">
        <f>IF(0&gt;=1,AU14,0)</f>
        <v>0</v>
      </c>
      <c r="AW15">
        <f>AV15*AR15</f>
        <v>0</v>
      </c>
      <c r="AX15">
        <f>AW15*AS15</f>
        <v>0</v>
      </c>
      <c r="AY15">
        <f t="shared" ref="AY15:AY47" si="6">AX15</f>
        <v>0</v>
      </c>
    </row>
    <row r="16" spans="1:51" x14ac:dyDescent="0.2">
      <c r="A16" s="2" t="s">
        <v>181</v>
      </c>
      <c r="B16" s="3" t="s">
        <v>182</v>
      </c>
      <c r="C16" s="4">
        <v>0.45800000000000002</v>
      </c>
      <c r="D16" s="4">
        <v>0.46600000000000003</v>
      </c>
      <c r="E16" s="4">
        <v>0.47199999999999998</v>
      </c>
      <c r="F16" s="4">
        <v>0.47799999999999998</v>
      </c>
      <c r="G16" s="4">
        <v>0.48399999999999999</v>
      </c>
      <c r="H16" s="4">
        <v>0.49099999999999999</v>
      </c>
      <c r="I16" s="4">
        <v>0.497</v>
      </c>
      <c r="J16" s="4">
        <v>0.503</v>
      </c>
      <c r="K16" s="4">
        <v>0.51</v>
      </c>
      <c r="L16" s="4">
        <v>0.51700000000000002</v>
      </c>
      <c r="M16" s="4">
        <v>0.52400000000000002</v>
      </c>
      <c r="N16" s="4">
        <v>0.53200000000000003</v>
      </c>
      <c r="O16" s="4">
        <v>0.53800000000000003</v>
      </c>
      <c r="P16" s="4">
        <v>0.54600000000000004</v>
      </c>
      <c r="Q16" s="4">
        <v>0.55100000000000005</v>
      </c>
      <c r="R16" s="4">
        <v>0.55600000000000005</v>
      </c>
      <c r="S16" s="4">
        <v>0.56299999999999994</v>
      </c>
      <c r="T16" s="4">
        <v>0.57099999999999995</v>
      </c>
      <c r="U16" s="4">
        <v>0.57799999999999996</v>
      </c>
      <c r="V16" s="4">
        <v>0.58399999999999996</v>
      </c>
      <c r="W16" s="4">
        <v>0.58799999999999997</v>
      </c>
      <c r="X16" s="4">
        <v>0.58499999999999996</v>
      </c>
      <c r="Y16" s="5">
        <v>0.58599999999999997</v>
      </c>
      <c r="Z16" t="s">
        <v>380</v>
      </c>
      <c r="AA16" t="s">
        <v>505</v>
      </c>
      <c r="AB16">
        <v>47</v>
      </c>
      <c r="AD16">
        <f ca="1"/>
        <v>122</v>
      </c>
      <c r="AF16" t="str">
        <v>Oceania</v>
      </c>
      <c r="AG16">
        <f t="shared" si="5"/>
        <v>1</v>
      </c>
      <c r="AM16">
        <v>1</v>
      </c>
      <c r="AN16">
        <f>0</f>
        <v>0</v>
      </c>
      <c r="AO16">
        <f>IF(1&lt;=MIN(AP5,AO5),_xlfn.HYPGEOM.DIST(1,AP5,AO5,AN5,0),0)</f>
        <v>5.5984854623538629E-3</v>
      </c>
      <c r="AP16">
        <f>IF(1=1,1,0)</f>
        <v>1</v>
      </c>
      <c r="AQ16">
        <f>IF(1&lt;=MIN(AP7,AO7),_xlfn.HYPGEOM.DIST(1,AP7,AO7,AN7,0),0)</f>
        <v>0</v>
      </c>
      <c r="AR16">
        <f>IF(1&lt;=MIN(AP8,AO8),_xlfn.HYPGEOM.DIST(1,AP8,AO8,AN8,0),0)</f>
        <v>0.25714285714285712</v>
      </c>
      <c r="AS16">
        <f>IF(1&lt;=MIN(AP9,AO9),_xlfn.HYPGEOM.DIST(1,AP9,AO9,AN9,0),0)</f>
        <v>0.90000000000000013</v>
      </c>
      <c r="AT16">
        <f>0</f>
        <v>0</v>
      </c>
      <c r="AU16">
        <f>AQ15*AO16+AQ16*AO15</f>
        <v>0</v>
      </c>
      <c r="AV16">
        <f>IF(1&gt;=1,AU15,0)</f>
        <v>0</v>
      </c>
      <c r="AW16">
        <f>AV15*AR16+AV16*AR15</f>
        <v>0</v>
      </c>
      <c r="AX16">
        <f>AW15*AS16+AW16*AS15</f>
        <v>0</v>
      </c>
      <c r="AY16">
        <f t="shared" si="6"/>
        <v>0</v>
      </c>
    </row>
    <row r="17" spans="1:51" x14ac:dyDescent="0.2">
      <c r="A17" s="2" t="s">
        <v>225</v>
      </c>
      <c r="B17" s="3" t="s">
        <v>226</v>
      </c>
      <c r="C17" s="4">
        <v>0.498</v>
      </c>
      <c r="D17" s="4">
        <v>0.504</v>
      </c>
      <c r="E17" s="4">
        <v>0.50800000000000001</v>
      </c>
      <c r="F17" s="4">
        <v>0.51600000000000001</v>
      </c>
      <c r="G17" s="4">
        <v>0.52200000000000002</v>
      </c>
      <c r="H17" s="4">
        <v>0.52900000000000003</v>
      </c>
      <c r="I17" s="4">
        <v>0.53900000000000003</v>
      </c>
      <c r="J17" s="4">
        <v>0.54300000000000004</v>
      </c>
      <c r="K17" s="4">
        <v>0.54400000000000004</v>
      </c>
      <c r="L17" s="4">
        <v>0.55000000000000004</v>
      </c>
      <c r="M17" s="4">
        <v>0.55300000000000005</v>
      </c>
      <c r="N17" s="4">
        <v>0.55600000000000005</v>
      </c>
      <c r="O17" s="4">
        <v>0.56200000000000006</v>
      </c>
      <c r="P17" s="4">
        <v>0.57299999999999995</v>
      </c>
      <c r="Q17" s="4">
        <v>0.58399999999999996</v>
      </c>
      <c r="R17" s="4">
        <v>0.59499999999999997</v>
      </c>
      <c r="S17" s="4">
        <v>0.59899999999999998</v>
      </c>
      <c r="T17" s="4">
        <v>0.60399999999999998</v>
      </c>
      <c r="U17" s="4">
        <v>0.60699999999999998</v>
      </c>
      <c r="V17" s="4">
        <v>0.60799999999999998</v>
      </c>
      <c r="W17" s="4">
        <v>0.60899999999999999</v>
      </c>
      <c r="X17" s="4">
        <v>0.60899999999999999</v>
      </c>
      <c r="Y17" s="5">
        <v>0.61299999999999999</v>
      </c>
      <c r="Z17" t="s">
        <v>380</v>
      </c>
      <c r="AA17" t="s">
        <v>505</v>
      </c>
      <c r="AB17">
        <v>48</v>
      </c>
      <c r="AD17">
        <f ca="1"/>
        <v>54</v>
      </c>
      <c r="AF17" t="str">
        <v>South America</v>
      </c>
      <c r="AG17">
        <f t="shared" si="5"/>
        <v>0</v>
      </c>
      <c r="AM17">
        <v>2</v>
      </c>
      <c r="AN17">
        <f>0</f>
        <v>0</v>
      </c>
      <c r="AO17">
        <f>IF(2&lt;=MIN(AP5,AO5),_xlfn.HYPGEOM.DIST(2,AP5,AO5,AN5,0),0)</f>
        <v>7.7678985790159874E-2</v>
      </c>
      <c r="AP17">
        <f>0</f>
        <v>0</v>
      </c>
      <c r="AQ17">
        <f>IF(2&lt;=MIN(AP7,AO7),_xlfn.HYPGEOM.DIST(2,AP7,AO7,AN7,0),0)</f>
        <v>0</v>
      </c>
      <c r="AR17">
        <f>IF(2&lt;=MIN(AP8,AO8),_xlfn.HYPGEOM.DIST(2,AP8,AO8,AN8,0),0)</f>
        <v>0.72857142857142809</v>
      </c>
      <c r="AS17">
        <f>IF(2&lt;=MIN(AP9,AO9),_xlfn.HYPGEOM.DIST(2,AP9,AO9,AN9,0),0)</f>
        <v>0</v>
      </c>
      <c r="AT17">
        <f>0</f>
        <v>0</v>
      </c>
      <c r="AU17">
        <f>AQ15*AO17+AQ16*AO16+AQ17*AO15</f>
        <v>0</v>
      </c>
      <c r="AV17">
        <f>IF(2&gt;=1,AU16,0)</f>
        <v>0</v>
      </c>
      <c r="AW17">
        <f>AV15*AR17+AV16*AR16+AV17*AR15</f>
        <v>0</v>
      </c>
      <c r="AX17">
        <f>AW15*AS17+AW16*AS16+AW17*AS15</f>
        <v>0</v>
      </c>
      <c r="AY17">
        <f t="shared" si="6"/>
        <v>0</v>
      </c>
    </row>
    <row r="18" spans="1:51" x14ac:dyDescent="0.2">
      <c r="A18" s="2" t="s">
        <v>133</v>
      </c>
      <c r="B18" s="3" t="s">
        <v>134</v>
      </c>
      <c r="C18" s="4">
        <v>0.39200000000000002</v>
      </c>
      <c r="D18" s="4">
        <v>0.39800000000000002</v>
      </c>
      <c r="E18" s="4">
        <v>0.40200000000000002</v>
      </c>
      <c r="F18" s="4">
        <v>0.40799999999999997</v>
      </c>
      <c r="G18" s="4">
        <v>0.41899999999999998</v>
      </c>
      <c r="H18" s="4">
        <v>0.42199999999999999</v>
      </c>
      <c r="I18" s="4">
        <v>0.42699999999999999</v>
      </c>
      <c r="J18" s="4">
        <v>0.433</v>
      </c>
      <c r="K18" s="4">
        <v>0.442</v>
      </c>
      <c r="L18" s="4">
        <v>0.44600000000000001</v>
      </c>
      <c r="M18" s="4">
        <v>0.44900000000000001</v>
      </c>
      <c r="N18" s="4">
        <v>0.45</v>
      </c>
      <c r="O18" s="4">
        <v>0.45700000000000002</v>
      </c>
      <c r="P18" s="4">
        <v>0.46100000000000002</v>
      </c>
      <c r="Q18" s="4">
        <v>0.46200000000000002</v>
      </c>
      <c r="R18" s="4">
        <v>0.46700000000000003</v>
      </c>
      <c r="S18" s="4">
        <v>0.47199999999999998</v>
      </c>
      <c r="T18" s="4">
        <v>0.47699999999999998</v>
      </c>
      <c r="U18" s="4">
        <v>0.48299999999999998</v>
      </c>
      <c r="V18" s="4">
        <v>0.49199999999999999</v>
      </c>
      <c r="W18" s="4">
        <v>0.49199999999999999</v>
      </c>
      <c r="X18" s="4">
        <v>0.49</v>
      </c>
      <c r="Y18" s="5">
        <v>0.495</v>
      </c>
      <c r="Z18" t="s">
        <v>380</v>
      </c>
      <c r="AA18" t="s">
        <v>505</v>
      </c>
      <c r="AB18">
        <v>54</v>
      </c>
      <c r="AD18">
        <f ca="1"/>
        <v>73</v>
      </c>
      <c r="AG18">
        <f>SUM(AG11:AG17)</f>
        <v>32</v>
      </c>
      <c r="AM18">
        <v>3</v>
      </c>
      <c r="AN18">
        <f>0</f>
        <v>0</v>
      </c>
      <c r="AO18">
        <f>IF(3&lt;=MIN(AP5,AO5),_xlfn.HYPGEOM.DIST(3,AP5,AO5,AN5,0),0)</f>
        <v>0.37285913179276775</v>
      </c>
      <c r="AP18">
        <f>0</f>
        <v>0</v>
      </c>
      <c r="AQ18">
        <f>IF(3&lt;=MIN(AP7,AO7),_xlfn.HYPGEOM.DIST(3,AP7,AO7,AN7,0),0)</f>
        <v>0</v>
      </c>
      <c r="AR18">
        <f>IF(3&lt;=MIN(AP8,AO8),_xlfn.HYPGEOM.DIST(3,AP8,AO8,AN8,0),0)</f>
        <v>0</v>
      </c>
      <c r="AS18">
        <f>IF(3&lt;=MIN(AP9,AO9),_xlfn.HYPGEOM.DIST(3,AP9,AO9,AN9,0),0)</f>
        <v>0</v>
      </c>
      <c r="AT18">
        <f>0</f>
        <v>0</v>
      </c>
      <c r="AU18">
        <f>AQ15*AO18+AQ16*AO17+AQ17*AO16+AQ18*AO15</f>
        <v>0</v>
      </c>
      <c r="AV18">
        <f>IF(3&gt;=1,AU17,0)</f>
        <v>0</v>
      </c>
      <c r="AW18">
        <f>AV15*AR18+AV16*AR17+AV17*AR16+AV18*AR15</f>
        <v>0</v>
      </c>
      <c r="AX18">
        <f>AW15*AS18+AW16*AS17+AW17*AS16+AW18*AS15</f>
        <v>0</v>
      </c>
      <c r="AY18">
        <f t="shared" si="6"/>
        <v>0</v>
      </c>
    </row>
    <row r="19" spans="1:51" x14ac:dyDescent="0.2">
      <c r="A19" s="2" t="s">
        <v>129</v>
      </c>
      <c r="B19" s="3" t="s">
        <v>130</v>
      </c>
      <c r="C19" s="4">
        <v>0.33</v>
      </c>
      <c r="D19" s="4">
        <v>0.34</v>
      </c>
      <c r="E19" s="4">
        <v>0.34599999999999997</v>
      </c>
      <c r="F19" s="4">
        <v>0.35699999999999998</v>
      </c>
      <c r="G19" s="4">
        <v>0.36499999999999999</v>
      </c>
      <c r="H19" s="4">
        <v>0.374</v>
      </c>
      <c r="I19" s="4">
        <v>0.38400000000000001</v>
      </c>
      <c r="J19" s="4">
        <v>0.39400000000000002</v>
      </c>
      <c r="K19" s="4">
        <v>0.40100000000000002</v>
      </c>
      <c r="L19" s="4">
        <v>0.41099999999999998</v>
      </c>
      <c r="M19" s="4">
        <v>0.42199999999999999</v>
      </c>
      <c r="N19" s="4">
        <v>0.432</v>
      </c>
      <c r="O19" s="4">
        <v>0.44400000000000001</v>
      </c>
      <c r="P19" s="4">
        <v>0.45300000000000001</v>
      </c>
      <c r="Q19" s="4">
        <v>0.46300000000000002</v>
      </c>
      <c r="R19" s="4">
        <v>0.47299999999999998</v>
      </c>
      <c r="S19" s="4">
        <v>0.48199999999999998</v>
      </c>
      <c r="T19" s="4">
        <v>0.49099999999999999</v>
      </c>
      <c r="U19" s="4">
        <v>0.499</v>
      </c>
      <c r="V19" s="4">
        <v>0.50800000000000001</v>
      </c>
      <c r="W19" s="4">
        <v>0.51200000000000001</v>
      </c>
      <c r="X19" s="4">
        <v>0.51200000000000001</v>
      </c>
      <c r="Y19" s="5">
        <v>0.51500000000000001</v>
      </c>
      <c r="Z19" t="s">
        <v>380</v>
      </c>
      <c r="AA19" t="s">
        <v>505</v>
      </c>
      <c r="AB19">
        <v>61</v>
      </c>
      <c r="AD19">
        <f ca="1"/>
        <v>134</v>
      </c>
      <c r="AM19">
        <v>4</v>
      </c>
      <c r="AN19">
        <f>0</f>
        <v>0</v>
      </c>
      <c r="AO19">
        <f>IF(4&lt;=MIN(AP5,AO5),_xlfn.HYPGEOM.DIST(4,AP5,AO5,AN5,0),0)</f>
        <v>0.54375290053111913</v>
      </c>
      <c r="AP19">
        <f>0</f>
        <v>0</v>
      </c>
      <c r="AQ19">
        <f>IF(4&lt;=MIN(AP7,AO7),_xlfn.HYPGEOM.DIST(4,AP7,AO7,AN7,0),0)</f>
        <v>0</v>
      </c>
      <c r="AR19">
        <f>IF(4&lt;=MIN(AP8,AO8),_xlfn.HYPGEOM.DIST(4,AP8,AO8,AN8,0),0)</f>
        <v>0</v>
      </c>
      <c r="AS19">
        <f>IF(4&lt;=MIN(AP9,AO9),_xlfn.HYPGEOM.DIST(4,AP9,AO9,AN9,0),0)</f>
        <v>0</v>
      </c>
      <c r="AT19">
        <f>0</f>
        <v>0</v>
      </c>
      <c r="AU19">
        <f>AQ15*AO19+AQ16*AO18+AQ17*AO17+AQ18*AO16+AQ19*AO15</f>
        <v>0</v>
      </c>
      <c r="AV19">
        <f>IF(4&gt;=1,AU18,0)</f>
        <v>0</v>
      </c>
      <c r="AW19">
        <f>AV15*AR19+AV16*AR18+AV17*AR17+AV18*AR16+AV19*AR15</f>
        <v>0</v>
      </c>
      <c r="AX19">
        <f>AW15*AS19+AW16*AS18+AW17*AS17+AW18*AS16+AW19*AS15</f>
        <v>0</v>
      </c>
      <c r="AY19">
        <f t="shared" si="6"/>
        <v>0</v>
      </c>
    </row>
    <row r="20" spans="1:51" x14ac:dyDescent="0.2">
      <c r="A20" s="6" t="s">
        <v>27</v>
      </c>
      <c r="B20" s="7" t="s">
        <v>28</v>
      </c>
      <c r="C20" s="8">
        <v>0.65200000000000002</v>
      </c>
      <c r="D20" s="8">
        <v>0.65900000000000003</v>
      </c>
      <c r="E20" s="8">
        <v>0.66800000000000004</v>
      </c>
      <c r="F20" s="8">
        <v>0.67500000000000004</v>
      </c>
      <c r="G20" s="8">
        <v>0.68300000000000005</v>
      </c>
      <c r="H20" s="8">
        <v>0.69</v>
      </c>
      <c r="I20" s="8">
        <v>0.69599999999999995</v>
      </c>
      <c r="J20" s="8">
        <v>0.70099999999999996</v>
      </c>
      <c r="K20" s="8">
        <v>0.70899999999999996</v>
      </c>
      <c r="L20" s="8">
        <v>0.71599999999999997</v>
      </c>
      <c r="M20" s="8">
        <v>0.72099999999999997</v>
      </c>
      <c r="N20" s="8">
        <v>0.72499999999999998</v>
      </c>
      <c r="O20" s="8">
        <v>0.72599999999999998</v>
      </c>
      <c r="P20" s="8">
        <v>0.72899999999999998</v>
      </c>
      <c r="Q20" s="8">
        <v>0.73199999999999998</v>
      </c>
      <c r="R20" s="8">
        <v>0.73599999999999999</v>
      </c>
      <c r="S20" s="8">
        <v>0.73799999999999999</v>
      </c>
      <c r="T20" s="8">
        <v>0.73799999999999999</v>
      </c>
      <c r="U20" s="8">
        <v>0.74</v>
      </c>
      <c r="V20" s="8">
        <v>0.74199999999999999</v>
      </c>
      <c r="W20" s="8">
        <v>0.73</v>
      </c>
      <c r="X20" s="8">
        <v>0.74</v>
      </c>
      <c r="Y20" s="9">
        <v>0.745</v>
      </c>
      <c r="Z20" t="s">
        <v>380</v>
      </c>
      <c r="AA20" t="s">
        <v>505</v>
      </c>
      <c r="AB20">
        <v>63</v>
      </c>
      <c r="AD20">
        <f ca="1"/>
        <v>27</v>
      </c>
      <c r="AF20" t="s">
        <v>581</v>
      </c>
      <c r="AG20">
        <f>COUNTIF(AA2:AA42,"Advanced") + COUNTIF(AA50:AA87, "Advanced") + COUNTIF(AA94, "Advanced") + COUNTIF(AA95:AA128, "Advanced") + COUNTIF(AA135:AA152, "Advanced") + COUNTIF(AA156:AA164, "Advanced") + COUNTIF(AA166:AA175, "Advanced")</f>
        <v>30</v>
      </c>
      <c r="AM20">
        <v>5</v>
      </c>
      <c r="AN20">
        <f>0</f>
        <v>0</v>
      </c>
      <c r="AO20">
        <f>IF(5&lt;=MIN(AP5,AO5),_xlfn.HYPGEOM.DIST(5,AP5,AO5,AN5,0),0)</f>
        <v>0</v>
      </c>
      <c r="AP20">
        <f>0</f>
        <v>0</v>
      </c>
      <c r="AQ20">
        <f>IF(5&lt;=MIN(AP7,AO7),_xlfn.HYPGEOM.DIST(5,AP7,AO7,AN7,0),0)</f>
        <v>0</v>
      </c>
      <c r="AR20">
        <f>IF(5&lt;=MIN(AP8,AO8),_xlfn.HYPGEOM.DIST(5,AP8,AO8,AN8,0),0)</f>
        <v>0</v>
      </c>
      <c r="AS20">
        <f>IF(5&lt;=MIN(AP9,AO9),_xlfn.HYPGEOM.DIST(5,AP9,AO9,AN9,0),0)</f>
        <v>0</v>
      </c>
      <c r="AT20">
        <f>0</f>
        <v>0</v>
      </c>
      <c r="AU20">
        <f>AQ15*AO20+AQ16*AO19+AQ17*AO18+AQ18*AO17+AQ19*AO16+AQ20*AO15</f>
        <v>0</v>
      </c>
      <c r="AV20">
        <f>IF(5&gt;=1,AU19,0)</f>
        <v>0</v>
      </c>
      <c r="AW20">
        <f>AV15*AR20+AV16*AR19+AV17*AR18+AV18*AR17+AV19*AR16+AV20*AR15</f>
        <v>0</v>
      </c>
      <c r="AX20">
        <f>AW15*AS20+AW16*AS19+AW17*AS18+AW18*AS17+AW19*AS16+AW20*AS15</f>
        <v>0</v>
      </c>
      <c r="AY20">
        <f t="shared" si="6"/>
        <v>0</v>
      </c>
    </row>
    <row r="21" spans="1:51" x14ac:dyDescent="0.2">
      <c r="A21" s="2" t="s">
        <v>165</v>
      </c>
      <c r="B21" s="3" t="s">
        <v>166</v>
      </c>
      <c r="C21" s="4">
        <v>0.39600000000000002</v>
      </c>
      <c r="D21" s="4">
        <v>0.40400000000000003</v>
      </c>
      <c r="E21" s="4">
        <v>0.41399999999999998</v>
      </c>
      <c r="F21" s="4">
        <v>0.42499999999999999</v>
      </c>
      <c r="G21" s="4">
        <v>0.435</v>
      </c>
      <c r="H21" s="4">
        <v>0.44500000000000001</v>
      </c>
      <c r="I21" s="4">
        <v>0.45500000000000002</v>
      </c>
      <c r="J21" s="4">
        <v>0.46400000000000002</v>
      </c>
      <c r="K21" s="4">
        <v>0.47199999999999998</v>
      </c>
      <c r="L21" s="4">
        <v>0.48199999999999998</v>
      </c>
      <c r="M21" s="4">
        <v>0.49299999999999999</v>
      </c>
      <c r="N21" s="4">
        <v>0.498</v>
      </c>
      <c r="O21" s="4">
        <v>0.501</v>
      </c>
      <c r="P21" s="4">
        <v>0.504</v>
      </c>
      <c r="Q21" s="4">
        <v>0.50600000000000001</v>
      </c>
      <c r="R21" s="4">
        <v>0.50700000000000001</v>
      </c>
      <c r="S21" s="4">
        <v>0.50900000000000001</v>
      </c>
      <c r="T21" s="4">
        <v>0.51700000000000002</v>
      </c>
      <c r="U21" s="4">
        <v>0.52500000000000002</v>
      </c>
      <c r="V21" s="4">
        <v>0.53300000000000003</v>
      </c>
      <c r="W21" s="4">
        <v>0.53500000000000003</v>
      </c>
      <c r="X21" s="4">
        <v>0.52900000000000003</v>
      </c>
      <c r="Y21" s="5">
        <v>0.53200000000000003</v>
      </c>
      <c r="Z21" t="s">
        <v>380</v>
      </c>
      <c r="AA21" t="s">
        <v>505</v>
      </c>
      <c r="AB21">
        <v>66</v>
      </c>
      <c r="AD21">
        <f ca="1"/>
        <v>11</v>
      </c>
      <c r="AM21">
        <v>6</v>
      </c>
      <c r="AN21">
        <f>0</f>
        <v>0</v>
      </c>
      <c r="AO21">
        <f>IF(6&lt;=MIN(AP5,AO5),_xlfn.HYPGEOM.DIST(6,AP5,AO5,AN5,0),0)</f>
        <v>0</v>
      </c>
      <c r="AP21">
        <f>0</f>
        <v>0</v>
      </c>
      <c r="AQ21">
        <f>IF(6&lt;=MIN(AP7,AO7),_xlfn.HYPGEOM.DIST(6,AP7,AO7,AN7,0),0)</f>
        <v>0</v>
      </c>
      <c r="AR21">
        <f>IF(6&lt;=MIN(AP8,AO8),_xlfn.HYPGEOM.DIST(6,AP8,AO8,AN8,0),0)</f>
        <v>0</v>
      </c>
      <c r="AS21">
        <f>IF(6&lt;=MIN(AP9,AO9),_xlfn.HYPGEOM.DIST(6,AP9,AO9,AN9,0),0)</f>
        <v>0</v>
      </c>
      <c r="AT21">
        <f>0</f>
        <v>0</v>
      </c>
      <c r="AU21">
        <f>AQ15*AO21+AQ16*AO20+AQ17*AO19+AQ18*AO18+AQ19*AO17+AQ20*AO16+AQ21*AO15</f>
        <v>0</v>
      </c>
      <c r="AV21">
        <f>IF(6&gt;=1,AU20,0)</f>
        <v>0</v>
      </c>
      <c r="AW21">
        <f>AV15*AR21+AV16*AR20+AV17*AR19+AV18*AR18+AV19*AR17+AV20*AR16+AV21*AR15</f>
        <v>0</v>
      </c>
      <c r="AX21">
        <f>AW15*AS21+AW16*AS20+AW17*AS19+AW18*AS18+AW19*AS17+AW20*AS16+AW21*AS15</f>
        <v>0</v>
      </c>
      <c r="AY21">
        <f t="shared" si="6"/>
        <v>0</v>
      </c>
    </row>
    <row r="22" spans="1:51" x14ac:dyDescent="0.2">
      <c r="A22" s="6" t="s">
        <v>183</v>
      </c>
      <c r="B22" s="7" t="s">
        <v>184</v>
      </c>
      <c r="C22" s="8">
        <v>0.50900000000000001</v>
      </c>
      <c r="D22" s="8">
        <v>0.51500000000000001</v>
      </c>
      <c r="E22" s="8">
        <v>0.51800000000000002</v>
      </c>
      <c r="F22" s="8">
        <v>0.52</v>
      </c>
      <c r="G22" s="8">
        <v>0.52500000000000002</v>
      </c>
      <c r="H22" s="8">
        <v>0.53900000000000003</v>
      </c>
      <c r="I22" s="8">
        <v>0.55200000000000005</v>
      </c>
      <c r="J22" s="8">
        <v>0.55300000000000005</v>
      </c>
      <c r="K22" s="8">
        <v>0.56100000000000005</v>
      </c>
      <c r="L22" s="8">
        <v>0.57399999999999995</v>
      </c>
      <c r="M22" s="8">
        <v>0.58099999999999996</v>
      </c>
      <c r="N22" s="8">
        <v>0.58399999999999996</v>
      </c>
      <c r="O22" s="8">
        <v>0.59499999999999997</v>
      </c>
      <c r="P22" s="8">
        <v>0.6</v>
      </c>
      <c r="Q22" s="8">
        <v>0.60899999999999999</v>
      </c>
      <c r="R22" s="8">
        <v>0.61</v>
      </c>
      <c r="S22" s="8">
        <v>0.60599999999999998</v>
      </c>
      <c r="T22" s="8">
        <v>0.6</v>
      </c>
      <c r="U22" s="8">
        <v>0.60299999999999998</v>
      </c>
      <c r="V22" s="8">
        <v>0.59599999999999997</v>
      </c>
      <c r="W22" s="8">
        <v>0.59799999999999998</v>
      </c>
      <c r="X22" s="8">
        <v>0.59799999999999998</v>
      </c>
      <c r="Y22" s="9">
        <v>0.59299999999999997</v>
      </c>
      <c r="Z22" t="s">
        <v>380</v>
      </c>
      <c r="AA22" t="s">
        <v>505</v>
      </c>
      <c r="AB22">
        <v>78</v>
      </c>
      <c r="AD22">
        <f ca="1"/>
        <v>16</v>
      </c>
      <c r="AM22">
        <v>7</v>
      </c>
      <c r="AN22">
        <f>0</f>
        <v>0</v>
      </c>
      <c r="AO22">
        <f>IF(7&lt;=MIN(AP5,AO5),_xlfn.HYPGEOM.DIST(7,AP5,AO5,AN5,0),0)</f>
        <v>0</v>
      </c>
      <c r="AP22">
        <f>0</f>
        <v>0</v>
      </c>
      <c r="AQ22">
        <f>IF(7&lt;=MIN(AP7,AO7),_xlfn.HYPGEOM.DIST(7,AP7,AO7,AN7,0),0)</f>
        <v>0</v>
      </c>
      <c r="AR22">
        <f>IF(7&lt;=MIN(AP8,AO8),_xlfn.HYPGEOM.DIST(7,AP8,AO8,AN8,0),0)</f>
        <v>0</v>
      </c>
      <c r="AS22">
        <f>IF(7&lt;=MIN(AP9,AO9),_xlfn.HYPGEOM.DIST(7,AP9,AO9,AN9,0),0)</f>
        <v>0</v>
      </c>
      <c r="AT22">
        <f>0</f>
        <v>0</v>
      </c>
      <c r="AU22">
        <f>AQ15*AO22+AQ16*AO21+AQ17*AO20+AQ18*AO19+AQ19*AO18+AQ20*AO17+AQ21*AO16+AQ22*AO15</f>
        <v>0</v>
      </c>
      <c r="AV22">
        <f>IF(7&gt;=1,AU21,0)</f>
        <v>0</v>
      </c>
      <c r="AW22">
        <f>AV15*AR22+AV16*AR21+AV17*AR20+AV18*AR19+AV19*AR18+AV20*AR17+AV21*AR16+AV22*AR15</f>
        <v>0</v>
      </c>
      <c r="AX22">
        <f>AW15*AS22+AW16*AS21+AW17*AS20+AW18*AS19+AW19*AS18+AW20*AS17+AW21*AS16+AW22*AS15</f>
        <v>0</v>
      </c>
      <c r="AY22">
        <f t="shared" si="6"/>
        <v>0</v>
      </c>
    </row>
    <row r="23" spans="1:51" x14ac:dyDescent="0.2">
      <c r="A23" s="6" t="s">
        <v>143</v>
      </c>
      <c r="B23" s="7" t="s">
        <v>144</v>
      </c>
      <c r="C23" s="8">
        <v>0.438</v>
      </c>
      <c r="D23" s="8">
        <v>0.44500000000000001</v>
      </c>
      <c r="E23" s="8">
        <v>0.442</v>
      </c>
      <c r="F23" s="8">
        <v>0.45100000000000001</v>
      </c>
      <c r="G23" s="8">
        <v>0.45900000000000002</v>
      </c>
      <c r="H23" s="8">
        <v>0.46400000000000002</v>
      </c>
      <c r="I23" s="8">
        <v>0.46899999999999997</v>
      </c>
      <c r="J23" s="8">
        <v>0.47699999999999998</v>
      </c>
      <c r="K23" s="8">
        <v>0.48499999999999999</v>
      </c>
      <c r="L23" s="8">
        <v>0.48799999999999999</v>
      </c>
      <c r="M23" s="8">
        <v>0.48799999999999999</v>
      </c>
      <c r="N23" s="8">
        <v>0.49</v>
      </c>
      <c r="O23" s="8">
        <v>0.49199999999999999</v>
      </c>
      <c r="P23" s="8">
        <v>0.49399999999999999</v>
      </c>
      <c r="Q23" s="8">
        <v>0.497</v>
      </c>
      <c r="R23" s="8">
        <v>0.499</v>
      </c>
      <c r="S23" s="8">
        <v>0.501</v>
      </c>
      <c r="T23" s="8">
        <v>0.502</v>
      </c>
      <c r="U23" s="8">
        <v>0.502</v>
      </c>
      <c r="V23" s="8">
        <v>0.498</v>
      </c>
      <c r="W23" s="8">
        <v>0.48599999999999999</v>
      </c>
      <c r="X23" s="8">
        <v>0.48399999999999999</v>
      </c>
      <c r="Y23" s="9">
        <v>0.48699999999999999</v>
      </c>
      <c r="Z23" t="s">
        <v>380</v>
      </c>
      <c r="AA23" t="s">
        <v>505</v>
      </c>
      <c r="AB23">
        <v>79</v>
      </c>
      <c r="AD23">
        <f ca="1"/>
        <v>123</v>
      </c>
      <c r="AM23">
        <v>8</v>
      </c>
      <c r="AN23">
        <f>0</f>
        <v>0</v>
      </c>
      <c r="AO23">
        <f>IF(8&lt;=MIN(AP5,AO5),_xlfn.HYPGEOM.DIST(8,AP5,AO5,AN5,0),0)</f>
        <v>0</v>
      </c>
      <c r="AP23">
        <f>0</f>
        <v>0</v>
      </c>
      <c r="AQ23">
        <f>IF(8&lt;=MIN(AP7,AO7),_xlfn.HYPGEOM.DIST(8,AP7,AO7,AN7,0),0)</f>
        <v>0</v>
      </c>
      <c r="AR23">
        <f>IF(8&lt;=MIN(AP8,AO8),_xlfn.HYPGEOM.DIST(8,AP8,AO8,AN8,0),0)</f>
        <v>0</v>
      </c>
      <c r="AS23">
        <f>IF(8&lt;=MIN(AP9,AO9),_xlfn.HYPGEOM.DIST(8,AP9,AO9,AN9,0),0)</f>
        <v>0</v>
      </c>
      <c r="AT23">
        <f>0</f>
        <v>0</v>
      </c>
      <c r="AU23">
        <f>AQ15*AO23+AQ16*AO22+AQ17*AO21+AQ18*AO20+AQ19*AO19+AQ20*AO18+AQ21*AO17+AQ22*AO16+AQ23*AO15</f>
        <v>0</v>
      </c>
      <c r="AV23">
        <f>IF(8&gt;=1,AU22,0)</f>
        <v>0</v>
      </c>
      <c r="AW23">
        <f>AV15*AR23+AV16*AR22+AV17*AR21+AV18*AR20+AV19*AR19+AV20*AR18+AV21*AR17+AV22*AR16+AV23*AR15</f>
        <v>0</v>
      </c>
      <c r="AX23">
        <f>AW15*AS23+AW16*AS22+AW17*AS21+AW18*AS20+AW19*AS19+AW20*AS18+AW21*AS17+AW22*AS16+AW23*AS15</f>
        <v>0</v>
      </c>
      <c r="AY23">
        <f t="shared" si="6"/>
        <v>0</v>
      </c>
    </row>
    <row r="24" spans="1:51" x14ac:dyDescent="0.2">
      <c r="A24" s="6" t="s">
        <v>135</v>
      </c>
      <c r="B24" s="7" t="s">
        <v>136</v>
      </c>
      <c r="C24" s="8">
        <v>0.34499999999999997</v>
      </c>
      <c r="D24" s="8">
        <v>0.35199999999999998</v>
      </c>
      <c r="E24" s="8">
        <v>0.36299999999999999</v>
      </c>
      <c r="F24" s="8">
        <v>0.37</v>
      </c>
      <c r="G24" s="8">
        <v>0.377</v>
      </c>
      <c r="H24" s="8">
        <v>0.38700000000000001</v>
      </c>
      <c r="I24" s="8">
        <v>0.39400000000000002</v>
      </c>
      <c r="J24" s="8">
        <v>0.40200000000000002</v>
      </c>
      <c r="K24" s="8">
        <v>0.40799999999999997</v>
      </c>
      <c r="L24" s="8">
        <v>0.41</v>
      </c>
      <c r="M24" s="8">
        <v>0.41499999999999998</v>
      </c>
      <c r="N24" s="8">
        <v>0.42099999999999999</v>
      </c>
      <c r="O24" s="8">
        <v>0.42499999999999999</v>
      </c>
      <c r="P24" s="8">
        <v>0.43</v>
      </c>
      <c r="Q24" s="8">
        <v>0.436</v>
      </c>
      <c r="R24" s="8">
        <v>0.44900000000000001</v>
      </c>
      <c r="S24" s="8">
        <v>0.46600000000000003</v>
      </c>
      <c r="T24" s="8">
        <v>0.46700000000000003</v>
      </c>
      <c r="U24" s="8">
        <v>0.46400000000000002</v>
      </c>
      <c r="V24" s="8">
        <v>0.47</v>
      </c>
      <c r="W24" s="8">
        <v>0.47099999999999997</v>
      </c>
      <c r="X24" s="8">
        <v>0.46700000000000003</v>
      </c>
      <c r="Y24" s="9">
        <v>0.47099999999999997</v>
      </c>
      <c r="Z24" t="s">
        <v>380</v>
      </c>
      <c r="AA24" t="s">
        <v>505</v>
      </c>
      <c r="AB24">
        <v>81</v>
      </c>
      <c r="AD24">
        <f ca="1"/>
        <v>28</v>
      </c>
      <c r="AM24">
        <v>9</v>
      </c>
      <c r="AN24">
        <f>0</f>
        <v>0</v>
      </c>
      <c r="AO24">
        <f>IF(9&lt;=MIN(AP5,AO5),_xlfn.HYPGEOM.DIST(9,AP5,AO5,AN5,0),0)</f>
        <v>0</v>
      </c>
      <c r="AP24">
        <f>0</f>
        <v>0</v>
      </c>
      <c r="AQ24">
        <f>IF(9&lt;=MIN(AP7,AO7),_xlfn.HYPGEOM.DIST(9,AP7,AO7,AN7,0),0)</f>
        <v>0</v>
      </c>
      <c r="AR24">
        <f>IF(9&lt;=MIN(AP8,AO8),_xlfn.HYPGEOM.DIST(9,AP8,AO8,AN8,0),0)</f>
        <v>0</v>
      </c>
      <c r="AS24">
        <f>IF(9&lt;=MIN(AP9,AO9),_xlfn.HYPGEOM.DIST(9,AP9,AO9,AN9,0),0)</f>
        <v>0</v>
      </c>
      <c r="AT24">
        <f>0</f>
        <v>0</v>
      </c>
      <c r="AU24">
        <f>AQ15*AO24+AQ16*AO23+AQ17*AO22+AQ18*AO21+AQ19*AO20+AQ20*AO19+AQ21*AO18+AQ22*AO17+AQ23*AO16+AQ24*AO15</f>
        <v>0</v>
      </c>
      <c r="AV24">
        <f>IF(9&gt;=1,AU23,0)</f>
        <v>0</v>
      </c>
      <c r="AW24">
        <f>AV15*AR24+AV16*AR23+AV17*AR22+AV18*AR21+AV19*AR20+AV20*AR19+AV21*AR18+AV22*AR17+AV23*AR16+AV24*AR15</f>
        <v>0</v>
      </c>
      <c r="AX24">
        <f>AW15*AS24+AW16*AS23+AW17*AS22+AW18*AS21+AW19*AS20+AW20*AS19+AW21*AS18+AW22*AS17+AW23*AS16+AW24*AS15</f>
        <v>0</v>
      </c>
      <c r="AY24">
        <f t="shared" si="6"/>
        <v>0</v>
      </c>
    </row>
    <row r="25" spans="1:51" x14ac:dyDescent="0.2">
      <c r="A25" s="6" t="s">
        <v>179</v>
      </c>
      <c r="B25" s="7" t="s">
        <v>180</v>
      </c>
      <c r="C25" s="8">
        <v>0.42599999999999999</v>
      </c>
      <c r="D25" s="8">
        <v>0.44500000000000001</v>
      </c>
      <c r="E25" s="8">
        <v>0.44500000000000001</v>
      </c>
      <c r="F25" s="8">
        <v>0.45200000000000001</v>
      </c>
      <c r="G25" s="8">
        <v>0.45800000000000002</v>
      </c>
      <c r="H25" s="8">
        <v>0.45900000000000002</v>
      </c>
      <c r="I25" s="8">
        <v>0.46</v>
      </c>
      <c r="J25" s="8">
        <v>0.47199999999999998</v>
      </c>
      <c r="K25" s="8">
        <v>0.48699999999999999</v>
      </c>
      <c r="L25" s="8">
        <v>0.502</v>
      </c>
      <c r="M25" s="8">
        <v>0.51500000000000001</v>
      </c>
      <c r="N25" s="8">
        <v>0.52400000000000002</v>
      </c>
      <c r="O25" s="8">
        <v>0.53500000000000003</v>
      </c>
      <c r="P25" s="8">
        <v>0.54400000000000004</v>
      </c>
      <c r="Q25" s="8">
        <v>0.55300000000000005</v>
      </c>
      <c r="R25" s="8">
        <v>0.56200000000000006</v>
      </c>
      <c r="S25" s="8">
        <v>0.56599999999999995</v>
      </c>
      <c r="T25" s="8">
        <v>0.57399999999999995</v>
      </c>
      <c r="U25" s="8">
        <v>0.58099999999999996</v>
      </c>
      <c r="V25" s="8">
        <v>0.58599999999999997</v>
      </c>
      <c r="W25" s="8">
        <v>0.58499999999999996</v>
      </c>
      <c r="X25" s="8">
        <v>0.58099999999999996</v>
      </c>
      <c r="Y25" s="9">
        <v>0.58699999999999997</v>
      </c>
      <c r="Z25" t="s">
        <v>380</v>
      </c>
      <c r="AA25" t="s">
        <v>505</v>
      </c>
      <c r="AB25">
        <v>89</v>
      </c>
      <c r="AD25">
        <f ca="1"/>
        <v>62</v>
      </c>
      <c r="AM25">
        <v>10</v>
      </c>
      <c r="AN25">
        <f>0</f>
        <v>0</v>
      </c>
      <c r="AO25">
        <f>IF(10&lt;=MIN(AP5,AO5),_xlfn.HYPGEOM.DIST(10,AP5,AO5,AN5,0),0)</f>
        <v>0</v>
      </c>
      <c r="AP25">
        <f>0</f>
        <v>0</v>
      </c>
      <c r="AQ25">
        <f>IF(10&lt;=MIN(AP7,AO7),_xlfn.HYPGEOM.DIST(10,AP7,AO7,AN7,0),0)</f>
        <v>0</v>
      </c>
      <c r="AR25">
        <f>IF(10&lt;=MIN(AP8,AO8),_xlfn.HYPGEOM.DIST(10,AP8,AO8,AN8,0),0)</f>
        <v>0</v>
      </c>
      <c r="AS25">
        <f>IF(10&lt;=MIN(AP9,AO9),_xlfn.HYPGEOM.DIST(10,AP9,AO9,AN9,0),0)</f>
        <v>0</v>
      </c>
      <c r="AT25">
        <f>0</f>
        <v>0</v>
      </c>
      <c r="AU25">
        <f>AQ15*AO25+AQ16*AO24+AQ17*AO23+AQ18*AO22+AQ19*AO21+AQ20*AO20+AQ21*AO19+AQ22*AO18+AQ23*AO17+AQ24*AO16+AQ25*AO15</f>
        <v>0</v>
      </c>
      <c r="AV25">
        <f>IF(10&gt;=1,AU24,0)</f>
        <v>0</v>
      </c>
      <c r="AW25">
        <f>AV15*AR25+AV16*AR24+AV17*AR23+AV18*AR22+AV19*AR21+AV20*AR20+AV21*AR19+AV22*AR18+AV23*AR17+AV24*AR16+AV25*AR15</f>
        <v>0</v>
      </c>
      <c r="AX25">
        <f>AW15*AS25+AW16*AS24+AW17*AS23+AW18*AS22+AW19*AS21+AW20*AS20+AW21*AS19+AW22*AS18+AW23*AS17+AW24*AS16+AW25*AS15</f>
        <v>0</v>
      </c>
      <c r="AY25">
        <f t="shared" si="6"/>
        <v>0</v>
      </c>
    </row>
    <row r="26" spans="1:51" x14ac:dyDescent="0.2">
      <c r="A26" s="2" t="s">
        <v>141</v>
      </c>
      <c r="B26" s="3" t="s">
        <v>142</v>
      </c>
      <c r="C26" s="4">
        <v>0.434</v>
      </c>
      <c r="D26" s="4">
        <v>0.44</v>
      </c>
      <c r="E26" s="4">
        <v>0.44600000000000001</v>
      </c>
      <c r="F26" s="4">
        <v>0.42199999999999999</v>
      </c>
      <c r="G26" s="4">
        <v>0.435</v>
      </c>
      <c r="H26" s="4">
        <v>0.439</v>
      </c>
      <c r="I26" s="4">
        <v>0.443</v>
      </c>
      <c r="J26" s="4">
        <v>0.44800000000000001</v>
      </c>
      <c r="K26" s="4">
        <v>0.45300000000000001</v>
      </c>
      <c r="L26" s="4">
        <v>0.45600000000000002</v>
      </c>
      <c r="M26" s="4">
        <v>0.46</v>
      </c>
      <c r="N26" s="4">
        <v>0.46400000000000002</v>
      </c>
      <c r="O26" s="4">
        <v>0.46899999999999997</v>
      </c>
      <c r="P26" s="4">
        <v>0.47399999999999998</v>
      </c>
      <c r="Q26" s="4">
        <v>0.47199999999999998</v>
      </c>
      <c r="R26" s="4">
        <v>0.47199999999999998</v>
      </c>
      <c r="S26" s="4">
        <v>0.47799999999999998</v>
      </c>
      <c r="T26" s="4">
        <v>0.48099999999999998</v>
      </c>
      <c r="U26" s="4">
        <v>0.48399999999999999</v>
      </c>
      <c r="V26" s="4">
        <v>0.48499999999999999</v>
      </c>
      <c r="W26" s="4">
        <v>0.48299999999999998</v>
      </c>
      <c r="X26" s="4">
        <v>0.48399999999999999</v>
      </c>
      <c r="Y26" s="5">
        <v>0.48699999999999999</v>
      </c>
      <c r="Z26" t="s">
        <v>380</v>
      </c>
      <c r="AA26" t="s">
        <v>505</v>
      </c>
      <c r="AB26">
        <v>93</v>
      </c>
      <c r="AD26">
        <f ca="1"/>
        <v>98</v>
      </c>
      <c r="AM26">
        <v>11</v>
      </c>
      <c r="AN26">
        <f>0</f>
        <v>0</v>
      </c>
      <c r="AO26">
        <f>IF(11&lt;=MIN(AP5,AO5),_xlfn.HYPGEOM.DIST(11,AP5,AO5,AN5,0),0)</f>
        <v>0</v>
      </c>
      <c r="AP26">
        <f>0</f>
        <v>0</v>
      </c>
      <c r="AQ26">
        <f>IF(11&lt;=MIN(AP7,AO7),_xlfn.HYPGEOM.DIST(11,AP7,AO7,AN7,0),0)</f>
        <v>0</v>
      </c>
      <c r="AR26">
        <f>IF(11&lt;=MIN(AP8,AO8),_xlfn.HYPGEOM.DIST(11,AP8,AO8,AN8,0),0)</f>
        <v>0</v>
      </c>
      <c r="AS26">
        <f>IF(11&lt;=MIN(AP9,AO9),_xlfn.HYPGEOM.DIST(11,AP9,AO9,AN9,0),0)</f>
        <v>0</v>
      </c>
      <c r="AT26">
        <f>0</f>
        <v>0</v>
      </c>
      <c r="AU26">
        <f>AQ15*AO26+AQ16*AO25+AQ17*AO24+AQ18*AO23+AQ19*AO22+AQ20*AO21+AQ21*AO20+AQ22*AO19+AQ23*AO18+AQ24*AO17+AQ25*AO16+AQ26*AO15</f>
        <v>0</v>
      </c>
      <c r="AV26">
        <f>IF(11&gt;=1,AU25,0)</f>
        <v>0</v>
      </c>
      <c r="AW26">
        <f>AV15*AR26+AV16*AR25+AV17*AR24+AV18*AR23+AV19*AR22+AV20*AR21+AV21*AR20+AV22*AR19+AV23*AR18+AV24*AR17+AV25*AR16+AV26*AR15</f>
        <v>0</v>
      </c>
      <c r="AX26">
        <f>AW15*AS26+AW16*AS25+AW17*AS24+AW18*AS23+AW19*AS22+AW20*AS21+AW21*AS20+AW22*AS19+AW23*AS18+AW24*AS17+AW25*AS16+AW26*AS15</f>
        <v>0</v>
      </c>
      <c r="AY26">
        <f t="shared" si="6"/>
        <v>0</v>
      </c>
    </row>
    <row r="27" spans="1:51" x14ac:dyDescent="0.2">
      <c r="A27" s="2" t="s">
        <v>125</v>
      </c>
      <c r="B27" s="3" t="s">
        <v>126</v>
      </c>
      <c r="C27" s="4">
        <v>0.376</v>
      </c>
      <c r="D27" s="4">
        <v>0.373</v>
      </c>
      <c r="E27" s="4">
        <v>0.376</v>
      </c>
      <c r="F27" s="4">
        <v>0.38200000000000001</v>
      </c>
      <c r="G27" s="4">
        <v>0.38800000000000001</v>
      </c>
      <c r="H27" s="4">
        <v>0.39200000000000002</v>
      </c>
      <c r="I27" s="4">
        <v>0.39700000000000002</v>
      </c>
      <c r="J27" s="4">
        <v>0.40100000000000002</v>
      </c>
      <c r="K27" s="4">
        <v>0.41</v>
      </c>
      <c r="L27" s="4">
        <v>0.41599999999999998</v>
      </c>
      <c r="M27" s="4">
        <v>0.42399999999999999</v>
      </c>
      <c r="N27" s="4">
        <v>0.432</v>
      </c>
      <c r="O27" s="4">
        <v>0.434</v>
      </c>
      <c r="P27" s="4">
        <v>0.44</v>
      </c>
      <c r="Q27" s="4">
        <v>0.45</v>
      </c>
      <c r="R27" s="4">
        <v>0.45700000000000002</v>
      </c>
      <c r="S27" s="4">
        <v>0.46600000000000003</v>
      </c>
      <c r="T27" s="4">
        <v>0.46899999999999997</v>
      </c>
      <c r="U27" s="4">
        <v>0.47399999999999998</v>
      </c>
      <c r="V27" s="4">
        <v>0.47599999999999998</v>
      </c>
      <c r="W27" s="4">
        <v>0.47699999999999998</v>
      </c>
      <c r="X27" s="4">
        <v>0.47499999999999998</v>
      </c>
      <c r="Y27" s="5">
        <v>0.48099999999999998</v>
      </c>
      <c r="Z27" t="s">
        <v>380</v>
      </c>
      <c r="AA27" t="s">
        <v>505</v>
      </c>
      <c r="AB27">
        <v>94</v>
      </c>
      <c r="AD27">
        <f ca="1"/>
        <v>81</v>
      </c>
      <c r="AM27">
        <v>12</v>
      </c>
      <c r="AN27">
        <f>0</f>
        <v>0</v>
      </c>
      <c r="AO27">
        <f>IF(12&lt;=MIN(AP5,AO5),_xlfn.HYPGEOM.DIST(12,AP5,AO5,AN5,0),0)</f>
        <v>0</v>
      </c>
      <c r="AP27">
        <f>0</f>
        <v>0</v>
      </c>
      <c r="AQ27">
        <f>IF(12&lt;=MIN(AP7,AO7),_xlfn.HYPGEOM.DIST(12,AP7,AO7,AN7,0),0)</f>
        <v>0</v>
      </c>
      <c r="AR27">
        <f>IF(12&lt;=MIN(AP8,AO8),_xlfn.HYPGEOM.DIST(12,AP8,AO8,AN8,0),0)</f>
        <v>0</v>
      </c>
      <c r="AS27">
        <f>IF(12&lt;=MIN(AP9,AO9),_xlfn.HYPGEOM.DIST(12,AP9,AO9,AN9,0),0)</f>
        <v>0</v>
      </c>
      <c r="AT27">
        <f>0</f>
        <v>0</v>
      </c>
      <c r="AU27">
        <f>AQ15*AO27+AQ16*AO26+AQ17*AO25+AQ18*AO24+AQ19*AO23+AQ20*AO22+AQ21*AO21+AQ22*AO20+AQ23*AO19+AQ24*AO18+AQ25*AO17+AQ26*AO16+AQ27*AO15</f>
        <v>0</v>
      </c>
      <c r="AV27">
        <f>IF(12&gt;=1,AU26,0)</f>
        <v>0</v>
      </c>
      <c r="AW27">
        <f>AV15*AR27+AV16*AR26+AV17*AR25+AV18*AR24+AV19*AR23+AV20*AR22+AV21*AR21+AV22*AR20+AV23*AR19+AV24*AR18+AV25*AR17+AV26*AR16+AV27*AR15</f>
        <v>0</v>
      </c>
      <c r="AX27">
        <f>AW15*AS27+AW16*AS26+AW17*AS25+AW18*AS24+AW19*AS23+AW20*AS22+AW21*AS21+AW22*AS20+AW23*AS19+AW24*AS18+AW25*AS17+AW26*AS16+AW27*AS15</f>
        <v>0</v>
      </c>
      <c r="AY27">
        <f t="shared" si="6"/>
        <v>0</v>
      </c>
    </row>
    <row r="28" spans="1:51" x14ac:dyDescent="0.2">
      <c r="A28" s="2" t="s">
        <v>117</v>
      </c>
      <c r="B28" s="3" t="s">
        <v>118</v>
      </c>
      <c r="C28" s="4">
        <v>0.41199999999999998</v>
      </c>
      <c r="D28" s="4">
        <v>0.42299999999999999</v>
      </c>
      <c r="E28" s="4">
        <v>0.43099999999999999</v>
      </c>
      <c r="F28" s="4">
        <v>0.438</v>
      </c>
      <c r="G28" s="4">
        <v>0.44400000000000001</v>
      </c>
      <c r="H28" s="4">
        <v>0.45</v>
      </c>
      <c r="I28" s="4">
        <v>0.45600000000000002</v>
      </c>
      <c r="J28" s="4">
        <v>0.46400000000000002</v>
      </c>
      <c r="K28" s="4">
        <v>0.47</v>
      </c>
      <c r="L28" s="4">
        <v>0.47499999999999998</v>
      </c>
      <c r="M28" s="4">
        <v>0.48099999999999998</v>
      </c>
      <c r="N28" s="4">
        <v>0.48599999999999999</v>
      </c>
      <c r="O28" s="4">
        <v>0.49399999999999999</v>
      </c>
      <c r="P28" s="4">
        <v>0.503</v>
      </c>
      <c r="Q28" s="4">
        <v>0.50600000000000001</v>
      </c>
      <c r="R28" s="4">
        <v>0.50900000000000001</v>
      </c>
      <c r="S28" s="4">
        <v>0.50800000000000001</v>
      </c>
      <c r="T28" s="4">
        <v>0.505</v>
      </c>
      <c r="U28" s="4">
        <v>0.50600000000000001</v>
      </c>
      <c r="V28" s="4">
        <v>0.50600000000000001</v>
      </c>
      <c r="W28" s="4">
        <v>0.501</v>
      </c>
      <c r="X28" s="4">
        <v>0.502</v>
      </c>
      <c r="Y28" s="5">
        <v>0.504</v>
      </c>
      <c r="Z28" t="s">
        <v>380</v>
      </c>
      <c r="AA28" t="s">
        <v>505</v>
      </c>
      <c r="AB28">
        <v>96</v>
      </c>
      <c r="AD28">
        <f ca="1"/>
        <v>154</v>
      </c>
      <c r="AM28">
        <v>13</v>
      </c>
      <c r="AN28">
        <f>0</f>
        <v>0</v>
      </c>
      <c r="AO28">
        <f>IF(13&lt;=MIN(AP5,AO5),_xlfn.HYPGEOM.DIST(13,AP5,AO5,AN5,0),0)</f>
        <v>0</v>
      </c>
      <c r="AP28">
        <f>0</f>
        <v>0</v>
      </c>
      <c r="AQ28">
        <f>IF(13&lt;=MIN(AP7,AO7),_xlfn.HYPGEOM.DIST(13,AP7,AO7,AN7,0),0)</f>
        <v>0</v>
      </c>
      <c r="AR28">
        <f>IF(13&lt;=MIN(AP8,AO8),_xlfn.HYPGEOM.DIST(13,AP8,AO8,AN8,0),0)</f>
        <v>0</v>
      </c>
      <c r="AS28">
        <f>IF(13&lt;=MIN(AP9,AO9),_xlfn.HYPGEOM.DIST(13,AP9,AO9,AN9,0),0)</f>
        <v>0</v>
      </c>
      <c r="AT28">
        <f>0</f>
        <v>0</v>
      </c>
      <c r="AU28">
        <f>AQ15*AO28+AQ16*AO27+AQ17*AO26+AQ18*AO25+AQ19*AO24+AQ20*AO23+AQ21*AO22+AQ22*AO21+AQ23*AO20+AQ24*AO19+AQ25*AO18+AQ26*AO17+AQ27*AO16+AQ28*AO15</f>
        <v>0</v>
      </c>
      <c r="AV28">
        <f>IF(13&gt;=1,AU27,0)</f>
        <v>0</v>
      </c>
      <c r="AW28">
        <f>AV15*AR28+AV16*AR27+AV17*AR26+AV18*AR25+AV19*AR24+AV20*AR23+AV21*AR22+AV22*AR21+AV23*AR20+AV24*AR19+AV25*AR18+AV26*AR17+AV27*AR16+AV28*AR15</f>
        <v>0</v>
      </c>
      <c r="AX28">
        <f>AW15*AS28+AW16*AS27+AW17*AS26+AW18*AS25+AW19*AS24+AW20*AS23+AW21*AS22+AW22*AS21+AW23*AS20+AW24*AS19+AW25*AS18+AW26*AS17+AW27*AS16+AW28*AS15</f>
        <v>0</v>
      </c>
      <c r="AY28">
        <f t="shared" si="6"/>
        <v>0</v>
      </c>
    </row>
    <row r="29" spans="1:51" x14ac:dyDescent="0.2">
      <c r="A29" s="2" t="s">
        <v>157</v>
      </c>
      <c r="B29" s="3" t="s">
        <v>158</v>
      </c>
      <c r="C29" s="4">
        <v>0.32800000000000001</v>
      </c>
      <c r="D29" s="4">
        <v>0.34599999999999997</v>
      </c>
      <c r="E29" s="4">
        <v>0.36699999999999999</v>
      </c>
      <c r="F29" s="4">
        <v>0.38500000000000001</v>
      </c>
      <c r="G29" s="4">
        <v>0.40300000000000002</v>
      </c>
      <c r="H29" s="4">
        <v>0.42099999999999999</v>
      </c>
      <c r="I29" s="4">
        <v>0.44</v>
      </c>
      <c r="J29" s="4">
        <v>0.45400000000000001</v>
      </c>
      <c r="K29" s="4">
        <v>0.46500000000000002</v>
      </c>
      <c r="L29" s="4">
        <v>0.47699999999999998</v>
      </c>
      <c r="M29" s="4">
        <v>0.48499999999999999</v>
      </c>
      <c r="N29" s="4">
        <v>0.49299999999999999</v>
      </c>
      <c r="O29" s="4">
        <v>0.501</v>
      </c>
      <c r="P29" s="4">
        <v>0.502</v>
      </c>
      <c r="Q29" s="4">
        <v>0.50700000000000001</v>
      </c>
      <c r="R29" s="4">
        <v>0.50900000000000001</v>
      </c>
      <c r="S29" s="4">
        <v>0.51800000000000002</v>
      </c>
      <c r="T29" s="4">
        <v>0.52</v>
      </c>
      <c r="U29" s="4">
        <v>0.52200000000000002</v>
      </c>
      <c r="V29" s="4">
        <v>0.53100000000000003</v>
      </c>
      <c r="W29" s="4">
        <v>0.53500000000000003</v>
      </c>
      <c r="X29" s="4">
        <v>0.53900000000000003</v>
      </c>
      <c r="Y29" s="5">
        <v>0.54800000000000004</v>
      </c>
      <c r="Z29" t="s">
        <v>380</v>
      </c>
      <c r="AA29" t="s">
        <v>505</v>
      </c>
      <c r="AB29">
        <v>99</v>
      </c>
      <c r="AD29">
        <f ca="1"/>
        <v>132</v>
      </c>
      <c r="AM29">
        <v>14</v>
      </c>
      <c r="AN29">
        <f>0</f>
        <v>0</v>
      </c>
      <c r="AO29">
        <f>IF(14&lt;=MIN(AP5,AO5),_xlfn.HYPGEOM.DIST(14,AP5,AO5,AN5,0),0)</f>
        <v>0</v>
      </c>
      <c r="AP29">
        <f>0</f>
        <v>0</v>
      </c>
      <c r="AQ29">
        <f>IF(14&lt;=MIN(AP7,AO7),_xlfn.HYPGEOM.DIST(14,AP7,AO7,AN7,0),0)</f>
        <v>0</v>
      </c>
      <c r="AR29">
        <f>IF(14&lt;=MIN(AP8,AO8),_xlfn.HYPGEOM.DIST(14,AP8,AO8,AN8,0),0)</f>
        <v>0</v>
      </c>
      <c r="AS29">
        <f>IF(14&lt;=MIN(AP9,AO9),_xlfn.HYPGEOM.DIST(14,AP9,AO9,AN9,0),0)</f>
        <v>0</v>
      </c>
      <c r="AT29">
        <f>0</f>
        <v>0</v>
      </c>
      <c r="AU29">
        <f>AQ15*AO29+AQ16*AO28+AQ17*AO27+AQ18*AO26+AQ19*AO25+AQ20*AO24+AQ21*AO23+AQ22*AO22+AQ23*AO21+AQ24*AO20+AQ25*AO19+AQ26*AO18+AQ27*AO17+AQ28*AO16+AQ29*AO15</f>
        <v>0</v>
      </c>
      <c r="AV29">
        <f>IF(14&gt;=1,AU28,0)</f>
        <v>0</v>
      </c>
      <c r="AW29">
        <f>AV15*AR29+AV16*AR28+AV17*AR27+AV18*AR26+AV19*AR25+AV20*AR24+AV21*AR23+AV22*AR22+AV23*AR21+AV24*AR20+AV25*AR19+AV26*AR18+AV27*AR17+AV28*AR16+AV29*AR15</f>
        <v>0</v>
      </c>
      <c r="AX29">
        <f>AW15*AS29+AW16*AS28+AW17*AS27+AW18*AS26+AW19*AS25+AW20*AS24+AW21*AS23+AW22*AS22+AW23*AS21+AW24*AS20+AW25*AS19+AW26*AS18+AW27*AS17+AW28*AS16+AW29*AS15</f>
        <v>0</v>
      </c>
      <c r="AY29">
        <f t="shared" si="6"/>
        <v>0</v>
      </c>
    </row>
    <row r="30" spans="1:51" x14ac:dyDescent="0.2">
      <c r="A30" s="6" t="s">
        <v>119</v>
      </c>
      <c r="B30" s="7" t="s">
        <v>120</v>
      </c>
      <c r="C30" s="8">
        <v>0.29599999999999999</v>
      </c>
      <c r="D30" s="8">
        <v>0.29899999999999999</v>
      </c>
      <c r="E30" s="8">
        <v>0.30199999999999999</v>
      </c>
      <c r="F30" s="8">
        <v>0.308</v>
      </c>
      <c r="G30" s="8">
        <v>0.317</v>
      </c>
      <c r="H30" s="8">
        <v>0.32700000000000001</v>
      </c>
      <c r="I30" s="8">
        <v>0.33500000000000002</v>
      </c>
      <c r="J30" s="8">
        <v>0.33900000000000002</v>
      </c>
      <c r="K30" s="8">
        <v>0.35199999999999998</v>
      </c>
      <c r="L30" s="8">
        <v>0.36199999999999999</v>
      </c>
      <c r="M30" s="8">
        <v>0.372</v>
      </c>
      <c r="N30" s="8">
        <v>0.38300000000000001</v>
      </c>
      <c r="O30" s="8">
        <v>0.39300000000000002</v>
      </c>
      <c r="P30" s="8">
        <v>0.39900000000000002</v>
      </c>
      <c r="Q30" s="8">
        <v>0.40300000000000002</v>
      </c>
      <c r="R30" s="8">
        <v>0.41299999999999998</v>
      </c>
      <c r="S30" s="8">
        <v>0.42199999999999999</v>
      </c>
      <c r="T30" s="8">
        <v>0.432</v>
      </c>
      <c r="U30" s="8">
        <v>0.443</v>
      </c>
      <c r="V30" s="8">
        <v>0.44600000000000001</v>
      </c>
      <c r="W30" s="8">
        <v>0.44600000000000001</v>
      </c>
      <c r="X30" s="8">
        <v>0.44500000000000001</v>
      </c>
      <c r="Y30" s="9">
        <v>0.438</v>
      </c>
      <c r="Z30" t="s">
        <v>380</v>
      </c>
      <c r="AA30" t="s">
        <v>505</v>
      </c>
      <c r="AB30">
        <v>103</v>
      </c>
      <c r="AD30">
        <f ca="1"/>
        <v>142</v>
      </c>
      <c r="AM30">
        <v>15</v>
      </c>
      <c r="AN30">
        <f>0</f>
        <v>0</v>
      </c>
      <c r="AO30">
        <f>IF(15&lt;=MIN(AP5,AO5),_xlfn.HYPGEOM.DIST(15,AP5,AO5,AN5,0),0)</f>
        <v>0</v>
      </c>
      <c r="AP30">
        <f>0</f>
        <v>0</v>
      </c>
      <c r="AQ30">
        <f>IF(15&lt;=MIN(AP7,AO7),_xlfn.HYPGEOM.DIST(15,AP7,AO7,AN7,0),0)</f>
        <v>0</v>
      </c>
      <c r="AR30">
        <f>IF(15&lt;=MIN(AP8,AO8),_xlfn.HYPGEOM.DIST(15,AP8,AO8,AN8,0),0)</f>
        <v>0</v>
      </c>
      <c r="AS30">
        <f>IF(15&lt;=MIN(AP9,AO9),_xlfn.HYPGEOM.DIST(15,AP9,AO9,AN9,0),0)</f>
        <v>0</v>
      </c>
      <c r="AT30">
        <f>0</f>
        <v>0</v>
      </c>
      <c r="AU30">
        <f>AQ15*AO30+AQ16*AO29+AQ17*AO28+AQ18*AO27+AQ19*AO26+AQ20*AO25+AQ21*AO24+AQ22*AO23+AQ23*AO22+AQ24*AO21+AQ25*AO20+AQ26*AO19+AQ27*AO18+AQ28*AO17+AQ29*AO16+AQ30*AO15</f>
        <v>0</v>
      </c>
      <c r="AV30">
        <f>IF(15&gt;=1,AU29,0)</f>
        <v>0</v>
      </c>
      <c r="AW30">
        <f>AV15*AR30+AV16*AR29+AV17*AR28+AV18*AR27+AV19*AR26+AV20*AR25+AV21*AR24+AV22*AR23+AV23*AR22+AV24*AR21+AV25*AR20+AV26*AR19+AV27*AR18+AV28*AR17+AV29*AR16+AV30*AR15</f>
        <v>0</v>
      </c>
      <c r="AX30">
        <f>AW15*AS30+AW16*AS29+AW17*AS28+AW18*AS27+AW19*AS26+AW20*AS25+AW21*AS24+AW22*AS23+AW23*AS22+AW24*AS21+AW25*AS20+AW26*AS19+AW27*AS18+AW28*AS17+AW29*AS16+AW30*AS15</f>
        <v>0</v>
      </c>
      <c r="AY30">
        <f t="shared" si="6"/>
        <v>0</v>
      </c>
    </row>
    <row r="31" spans="1:51" x14ac:dyDescent="0.2">
      <c r="A31" s="2" t="s">
        <v>189</v>
      </c>
      <c r="B31" s="3" t="s">
        <v>190</v>
      </c>
      <c r="C31" s="4">
        <v>0.46500000000000002</v>
      </c>
      <c r="D31" s="4">
        <v>0.45600000000000002</v>
      </c>
      <c r="E31" s="4">
        <v>0.44400000000000001</v>
      </c>
      <c r="F31" s="4">
        <v>0.438</v>
      </c>
      <c r="G31" s="4">
        <v>0.436</v>
      </c>
      <c r="H31" s="4">
        <v>0.439</v>
      </c>
      <c r="I31" s="4">
        <v>0.45400000000000001</v>
      </c>
      <c r="J31" s="4">
        <v>0.46400000000000002</v>
      </c>
      <c r="K31" s="4">
        <v>0.47299999999999998</v>
      </c>
      <c r="L31" s="4">
        <v>0.48099999999999998</v>
      </c>
      <c r="M31" s="4">
        <v>0.498</v>
      </c>
      <c r="N31" s="4">
        <v>0.51400000000000001</v>
      </c>
      <c r="O31" s="4">
        <v>0.53</v>
      </c>
      <c r="P31" s="4">
        <v>0.54600000000000004</v>
      </c>
      <c r="Q31" s="4">
        <v>0.56000000000000005</v>
      </c>
      <c r="R31" s="4">
        <v>0.57699999999999996</v>
      </c>
      <c r="S31" s="4">
        <v>0.59</v>
      </c>
      <c r="T31" s="4">
        <v>0.60099999999999998</v>
      </c>
      <c r="U31" s="4">
        <v>0.61299999999999999</v>
      </c>
      <c r="V31" s="4">
        <v>0.623</v>
      </c>
      <c r="W31" s="4">
        <v>0.622</v>
      </c>
      <c r="X31" s="4">
        <v>0.61199999999999999</v>
      </c>
      <c r="Y31" s="5">
        <v>0.61</v>
      </c>
      <c r="Z31" t="s">
        <v>380</v>
      </c>
      <c r="AA31" t="s">
        <v>505</v>
      </c>
      <c r="AB31">
        <v>105</v>
      </c>
      <c r="AD31">
        <f ca="1"/>
        <v>39</v>
      </c>
      <c r="AM31">
        <v>16</v>
      </c>
      <c r="AN31">
        <f>0</f>
        <v>0</v>
      </c>
      <c r="AO31">
        <f>IF(16&lt;=MIN(AP5,AO5),_xlfn.HYPGEOM.DIST(16,AP5,AO5,AN5,0),0)</f>
        <v>0</v>
      </c>
      <c r="AP31">
        <f>0</f>
        <v>0</v>
      </c>
      <c r="AQ31">
        <f>IF(16&lt;=MIN(AP7,AO7),_xlfn.HYPGEOM.DIST(16,AP7,AO7,AN7,0),0)</f>
        <v>0</v>
      </c>
      <c r="AR31">
        <f>IF(16&lt;=MIN(AP8,AO8),_xlfn.HYPGEOM.DIST(16,AP8,AO8,AN8,0),0)</f>
        <v>0</v>
      </c>
      <c r="AS31">
        <f>IF(16&lt;=MIN(AP9,AO9),_xlfn.HYPGEOM.DIST(16,AP9,AO9,AN9,0),0)</f>
        <v>0</v>
      </c>
      <c r="AT31">
        <f>0</f>
        <v>0</v>
      </c>
      <c r="AU31">
        <f>AQ15*AO31+AQ16*AO30+AQ17*AO29+AQ18*AO28+AQ19*AO27+AQ20*AO26+AQ21*AO25+AQ22*AO24+AQ23*AO23+AQ24*AO22+AQ25*AO21+AQ26*AO20+AQ27*AO19+AQ28*AO18+AQ29*AO17+AQ30*AO16+AQ31*AO15</f>
        <v>0</v>
      </c>
      <c r="AV31">
        <f>IF(16&gt;=1,AU30,0)</f>
        <v>0</v>
      </c>
      <c r="AW31">
        <f>AV15*AR31+AV16*AR30+AV17*AR29+AV18*AR28+AV19*AR27+AV20*AR26+AV21*AR25+AV22*AR24+AV23*AR23+AV24*AR22+AV25*AR21+AV26*AR20+AV27*AR19+AV28*AR18+AV29*AR17+AV30*AR16+AV31*AR15</f>
        <v>0</v>
      </c>
      <c r="AX31">
        <f>AW15*AS31+AW16*AS30+AW17*AS29+AW18*AS28+AW19*AS27+AW20*AS26+AW21*AS25+AW22*AS24+AW23*AS23+AW24*AS22+AW25*AS21+AW26*AS20+AW27*AS19+AW28*AS18+AW29*AS17+AW30*AS16+AW31*AS15</f>
        <v>0</v>
      </c>
      <c r="AY31">
        <f t="shared" si="6"/>
        <v>0</v>
      </c>
    </row>
    <row r="32" spans="1:51" x14ac:dyDescent="0.2">
      <c r="A32" s="6" t="s">
        <v>191</v>
      </c>
      <c r="B32" s="7" t="s">
        <v>192</v>
      </c>
      <c r="C32" s="8">
        <v>0.626</v>
      </c>
      <c r="D32" s="8">
        <v>0.63200000000000001</v>
      </c>
      <c r="E32" s="8">
        <v>0.63500000000000001</v>
      </c>
      <c r="F32" s="8">
        <v>0.63800000000000001</v>
      </c>
      <c r="G32" s="8">
        <v>0.63800000000000001</v>
      </c>
      <c r="H32" s="8">
        <v>0.64300000000000002</v>
      </c>
      <c r="I32" s="8">
        <v>0.64300000000000002</v>
      </c>
      <c r="J32" s="8">
        <v>0.64600000000000002</v>
      </c>
      <c r="K32" s="8">
        <v>0.64700000000000002</v>
      </c>
      <c r="L32" s="8">
        <v>0.65200000000000002</v>
      </c>
      <c r="M32" s="8">
        <v>0.65600000000000003</v>
      </c>
      <c r="N32" s="8">
        <v>0.66100000000000003</v>
      </c>
      <c r="O32" s="8">
        <v>0.67100000000000004</v>
      </c>
      <c r="P32" s="8">
        <v>0.67800000000000005</v>
      </c>
      <c r="Q32" s="8">
        <v>0.68700000000000006</v>
      </c>
      <c r="R32" s="8">
        <v>0.69199999999999995</v>
      </c>
      <c r="S32" s="8">
        <v>0.69599999999999995</v>
      </c>
      <c r="T32" s="8">
        <v>0.69899999999999995</v>
      </c>
      <c r="U32" s="8">
        <v>0.69899999999999995</v>
      </c>
      <c r="V32" s="8">
        <v>0.70199999999999996</v>
      </c>
      <c r="W32" s="8">
        <v>0.70399999999999996</v>
      </c>
      <c r="X32" s="8">
        <v>0.68700000000000006</v>
      </c>
      <c r="Y32" s="9">
        <v>0.69299999999999995</v>
      </c>
      <c r="Z32" t="s">
        <v>380</v>
      </c>
      <c r="AA32" t="s">
        <v>505</v>
      </c>
      <c r="AB32">
        <v>106</v>
      </c>
      <c r="AD32">
        <f ca="1"/>
        <v>85</v>
      </c>
      <c r="AM32">
        <v>17</v>
      </c>
      <c r="AN32">
        <f>0</f>
        <v>0</v>
      </c>
      <c r="AO32">
        <f>IF(17&lt;=MIN(AP5,AO5),_xlfn.HYPGEOM.DIST(17,AP5,AO5,AN5,0),0)</f>
        <v>0</v>
      </c>
      <c r="AP32">
        <f>0</f>
        <v>0</v>
      </c>
      <c r="AQ32">
        <f>IF(17&lt;=MIN(AP7,AO7),_xlfn.HYPGEOM.DIST(17,AP7,AO7,AN7,0),0)</f>
        <v>0</v>
      </c>
      <c r="AR32">
        <f>IF(17&lt;=MIN(AP8,AO8),_xlfn.HYPGEOM.DIST(17,AP8,AO8,AN8,0),0)</f>
        <v>0</v>
      </c>
      <c r="AS32">
        <f>IF(17&lt;=MIN(AP9,AO9),_xlfn.HYPGEOM.DIST(17,AP9,AO9,AN9,0),0)</f>
        <v>0</v>
      </c>
      <c r="AT32">
        <f>0</f>
        <v>0</v>
      </c>
      <c r="AU32">
        <f>AQ15*AO32+AQ16*AO31+AQ17*AO30+AQ18*AO29+AQ19*AO28+AQ20*AO27+AQ21*AO26+AQ22*AO25+AQ23*AO24+AQ24*AO23+AQ25*AO22+AQ26*AO21+AQ27*AO20+AQ28*AO19+AQ29*AO18+AQ30*AO17+AQ31*AO16+AQ32*AO15</f>
        <v>0</v>
      </c>
      <c r="AV32">
        <f>IF(17&gt;=1,AU31,0)</f>
        <v>0</v>
      </c>
      <c r="AW32">
        <f>AV15*AR32+AV16*AR31+AV17*AR30+AV18*AR29+AV19*AR28+AV20*AR27+AV21*AR26+AV22*AR25+AV23*AR24+AV24*AR23+AV25*AR22+AV26*AR21+AV27*AR20+AV28*AR19+AV29*AR18+AV30*AR17+AV31*AR16+AV32*AR15</f>
        <v>0</v>
      </c>
      <c r="AX32">
        <f>AW15*AS32+AW16*AS31+AW17*AS30+AW18*AS29+AW19*AS28+AW20*AS27+AW21*AS26+AW22*AS25+AW23*AS24+AW24*AS23+AW25*AS22+AW26*AS21+AW27*AS20+AW28*AS19+AW29*AS18+AW30*AS17+AW31*AS16+AW32*AS15</f>
        <v>0</v>
      </c>
      <c r="AY32">
        <f t="shared" si="6"/>
        <v>0</v>
      </c>
    </row>
    <row r="33" spans="1:51" x14ac:dyDescent="0.2">
      <c r="A33" s="2" t="s">
        <v>101</v>
      </c>
      <c r="B33" s="3" t="s">
        <v>102</v>
      </c>
      <c r="C33" s="4">
        <v>0.63300000000000001</v>
      </c>
      <c r="D33" s="4">
        <v>0.629</v>
      </c>
      <c r="E33" s="4">
        <v>0.63300000000000001</v>
      </c>
      <c r="F33" s="4">
        <v>0.629</v>
      </c>
      <c r="G33" s="4">
        <v>0.63</v>
      </c>
      <c r="H33" s="4">
        <v>0.63200000000000001</v>
      </c>
      <c r="I33" s="4">
        <v>0.63700000000000001</v>
      </c>
      <c r="J33" s="4">
        <v>0.64400000000000002</v>
      </c>
      <c r="K33" s="4">
        <v>0.65300000000000002</v>
      </c>
      <c r="L33" s="4">
        <v>0.66500000000000004</v>
      </c>
      <c r="M33" s="4">
        <v>0.67500000000000004</v>
      </c>
      <c r="N33" s="4">
        <v>0.68600000000000005</v>
      </c>
      <c r="O33" s="4">
        <v>0.69599999999999995</v>
      </c>
      <c r="P33" s="4">
        <v>0.70499999999999996</v>
      </c>
      <c r="Q33" s="4">
        <v>0.71399999999999997</v>
      </c>
      <c r="R33" s="4">
        <v>0.72099999999999997</v>
      </c>
      <c r="S33" s="4">
        <v>0.71099999999999997</v>
      </c>
      <c r="T33" s="4">
        <v>0.72499999999999998</v>
      </c>
      <c r="U33" s="4">
        <v>0.73099999999999998</v>
      </c>
      <c r="V33" s="4">
        <v>0.74099999999999999</v>
      </c>
      <c r="W33" s="4">
        <v>0.72199999999999998</v>
      </c>
      <c r="X33" s="4">
        <v>0.72099999999999997</v>
      </c>
      <c r="Y33" s="5">
        <v>0.71699999999999997</v>
      </c>
      <c r="Z33" t="s">
        <v>380</v>
      </c>
      <c r="AA33" t="s">
        <v>505</v>
      </c>
      <c r="AB33">
        <v>109</v>
      </c>
      <c r="AD33">
        <f ca="1"/>
        <v>112</v>
      </c>
      <c r="AM33">
        <v>18</v>
      </c>
      <c r="AN33">
        <f>0</f>
        <v>0</v>
      </c>
      <c r="AO33">
        <f>IF(18&lt;=MIN(AP5,AO5),_xlfn.HYPGEOM.DIST(18,AP5,AO5,AN5,0),0)</f>
        <v>0</v>
      </c>
      <c r="AP33">
        <f>0</f>
        <v>0</v>
      </c>
      <c r="AQ33">
        <f>IF(18&lt;=MIN(AP7,AO7),_xlfn.HYPGEOM.DIST(18,AP7,AO7,AN7,0),0)</f>
        <v>3.5065835065835056E-2</v>
      </c>
      <c r="AR33">
        <f>IF(18&lt;=MIN(AP8,AO8),_xlfn.HYPGEOM.DIST(18,AP8,AO8,AN8,0),0)</f>
        <v>0</v>
      </c>
      <c r="AS33">
        <f>IF(18&lt;=MIN(AP9,AO9),_xlfn.HYPGEOM.DIST(18,AP9,AO9,AN9,0),0)</f>
        <v>0</v>
      </c>
      <c r="AT33">
        <f>0</f>
        <v>0</v>
      </c>
      <c r="AU33">
        <f>AQ15*AO33+AQ16*AO32+AQ17*AO31+AQ18*AO30+AQ19*AO29+AQ20*AO28+AQ21*AO27+AQ22*AO26+AQ23*AO25+AQ24*AO24+AQ25*AO23+AQ26*AO22+AQ27*AO21+AQ28*AO20+AQ29*AO19+AQ30*AO18+AQ31*AO17+AQ32*AO16+AQ33*AO15</f>
        <v>3.8746493652903175E-6</v>
      </c>
      <c r="AV33">
        <f>IF(18&gt;=1,AU32,0)</f>
        <v>0</v>
      </c>
      <c r="AW33">
        <f>AV15*AR33+AV16*AR32+AV17*AR31+AV18*AR30+AV19*AR29+AV20*AR28+AV21*AR27+AV22*AR26+AV23*AR25+AV24*AR24+AV25*AR23+AV26*AR22+AV27*AR21+AV28*AR20+AV29*AR19+AV30*AR18+AV31*AR17+AV32*AR16+AV33*AR15</f>
        <v>0</v>
      </c>
      <c r="AX33">
        <f>AW15*AS33+AW16*AS32+AW17*AS31+AW18*AS30+AW19*AS29+AW20*AS28+AW21*AS27+AW22*AS26+AW23*AS25+AW24*AS24+AW25*AS23+AW26*AS22+AW27*AS21+AW28*AS20+AW29*AS19+AW30*AS18+AW31*AS17+AW32*AS16+AW33*AS15</f>
        <v>0</v>
      </c>
      <c r="AY33">
        <f t="shared" si="6"/>
        <v>0</v>
      </c>
    </row>
    <row r="34" spans="1:51" x14ac:dyDescent="0.2">
      <c r="A34" s="6" t="s">
        <v>175</v>
      </c>
      <c r="B34" s="7" t="s">
        <v>176</v>
      </c>
      <c r="C34" s="8">
        <v>0.59</v>
      </c>
      <c r="D34" s="8">
        <v>0.59799999999999998</v>
      </c>
      <c r="E34" s="8">
        <v>0.60599999999999998</v>
      </c>
      <c r="F34" s="8">
        <v>0.61199999999999999</v>
      </c>
      <c r="G34" s="8">
        <v>0.61499999999999999</v>
      </c>
      <c r="H34" s="8">
        <v>0.622</v>
      </c>
      <c r="I34" s="8">
        <v>0.63300000000000001</v>
      </c>
      <c r="J34" s="8">
        <v>0.63900000000000001</v>
      </c>
      <c r="K34" s="8">
        <v>0.64300000000000002</v>
      </c>
      <c r="L34" s="8">
        <v>0.64500000000000002</v>
      </c>
      <c r="M34" s="8">
        <v>0.64900000000000002</v>
      </c>
      <c r="N34" s="8">
        <v>0.65700000000000003</v>
      </c>
      <c r="O34" s="8">
        <v>0.65700000000000003</v>
      </c>
      <c r="P34" s="8">
        <v>0.66400000000000003</v>
      </c>
      <c r="Q34" s="8">
        <v>0.66300000000000003</v>
      </c>
      <c r="R34" s="8">
        <v>0.65800000000000003</v>
      </c>
      <c r="S34" s="8">
        <v>0.66400000000000003</v>
      </c>
      <c r="T34" s="8">
        <v>0.66800000000000004</v>
      </c>
      <c r="U34" s="8">
        <v>0.66400000000000003</v>
      </c>
      <c r="V34" s="8">
        <v>0.66700000000000004</v>
      </c>
      <c r="W34" s="8">
        <v>0.64900000000000002</v>
      </c>
      <c r="X34" s="8">
        <v>0.65</v>
      </c>
      <c r="Y34" s="9">
        <v>0.66100000000000003</v>
      </c>
      <c r="Z34" t="s">
        <v>380</v>
      </c>
      <c r="AA34" t="s">
        <v>505</v>
      </c>
      <c r="AB34">
        <v>115</v>
      </c>
      <c r="AD34">
        <f ca="1"/>
        <v>130</v>
      </c>
      <c r="AM34">
        <v>19</v>
      </c>
      <c r="AN34">
        <f>0</f>
        <v>0</v>
      </c>
      <c r="AO34">
        <f>IF(19&lt;=MIN(AP5,AO5),_xlfn.HYPGEOM.DIST(19,AP5,AO5,AN5,0),0)</f>
        <v>0</v>
      </c>
      <c r="AP34">
        <f>0</f>
        <v>0</v>
      </c>
      <c r="AQ34">
        <f>IF(19&lt;=MIN(AP7,AO7),_xlfn.HYPGEOM.DIST(19,AP7,AO7,AN7,0),0)</f>
        <v>0.17717474559579724</v>
      </c>
      <c r="AR34">
        <f>IF(19&lt;=MIN(AP8,AO8),_xlfn.HYPGEOM.DIST(19,AP8,AO8,AN8,0),0)</f>
        <v>0</v>
      </c>
      <c r="AS34">
        <f>IF(19&lt;=MIN(AP9,AO9),_xlfn.HYPGEOM.DIST(19,AP9,AO9,AN9,0),0)</f>
        <v>0</v>
      </c>
      <c r="AT34">
        <f>0</f>
        <v>0</v>
      </c>
      <c r="AU34">
        <f>AQ15*AO34+AQ16*AO33+AQ17*AO32+AQ18*AO31+AQ19*AO30+AQ20*AO29+AQ21*AO28+AQ22*AO27+AQ23*AO26+AQ24*AO25+AQ25*AO24+AQ26*AO23+AQ27*AO22+AQ28*AO21+AQ29*AO20+AQ30*AO19+AQ31*AO18+AQ32*AO17+AQ33*AO16+AQ34*AO15</f>
        <v>2.1589274358179003E-4</v>
      </c>
      <c r="AV34">
        <f>IF(19&gt;=1,AU33,0)</f>
        <v>3.8746493652903175E-6</v>
      </c>
      <c r="AW34">
        <f>AV15*AR34+AV16*AR33+AV17*AR32+AV18*AR31+AV19*AR30+AV20*AR29+AV21*AR28+AV22*AR27+AV23*AR26+AV24*AR25+AV25*AR24+AV26*AR23+AV27*AR22+AV28*AR21+AV29*AR20+AV30*AR19+AV31*AR18+AV32*AR17+AV33*AR16+AV34*AR15</f>
        <v>5.5352133789861655E-8</v>
      </c>
      <c r="AX34">
        <f>AW15*AS34+AW16*AS33+AW17*AS32+AW18*AS31+AW19*AS30+AW20*AS29+AW21*AS28+AW22*AS27+AW23*AS26+AW24*AS25+AW25*AS24+AW26*AS23+AW27*AS22+AW28*AS21+AW29*AS20+AW30*AS19+AW31*AS18+AW32*AS17+AW33*AS16+AW34*AS15</f>
        <v>5.5352133789861654E-9</v>
      </c>
      <c r="AY34">
        <f t="shared" si="6"/>
        <v>5.5352133789861654E-9</v>
      </c>
    </row>
    <row r="35" spans="1:51" x14ac:dyDescent="0.2">
      <c r="A35" s="2" t="s">
        <v>37</v>
      </c>
      <c r="B35" s="3" t="s">
        <v>38</v>
      </c>
      <c r="C35" s="4">
        <v>0.58099999999999996</v>
      </c>
      <c r="D35" s="4">
        <v>0.58099999999999996</v>
      </c>
      <c r="E35" s="4">
        <v>0.57899999999999996</v>
      </c>
      <c r="F35" s="4">
        <v>0.58499999999999996</v>
      </c>
      <c r="G35" s="4">
        <v>0.59099999999999997</v>
      </c>
      <c r="H35" s="4">
        <v>0.60099999999999998</v>
      </c>
      <c r="I35" s="4">
        <v>0.61499999999999999</v>
      </c>
      <c r="J35" s="4">
        <v>0.629</v>
      </c>
      <c r="K35" s="4">
        <v>0.63700000000000001</v>
      </c>
      <c r="L35" s="4">
        <v>0.63900000000000001</v>
      </c>
      <c r="M35" s="4">
        <v>0.65200000000000002</v>
      </c>
      <c r="N35" s="4">
        <v>0.66</v>
      </c>
      <c r="O35" s="4">
        <v>0.66400000000000003</v>
      </c>
      <c r="P35" s="4">
        <v>0.67600000000000005</v>
      </c>
      <c r="Q35" s="4">
        <v>0.68300000000000005</v>
      </c>
      <c r="R35" s="4">
        <v>0.68799999999999994</v>
      </c>
      <c r="S35" s="4">
        <v>0.69699999999999995</v>
      </c>
      <c r="T35" s="4">
        <v>0.70499999999999996</v>
      </c>
      <c r="U35" s="4">
        <v>0.7</v>
      </c>
      <c r="V35" s="4">
        <v>0.70299999999999996</v>
      </c>
      <c r="W35" s="4">
        <v>0.70099999999999996</v>
      </c>
      <c r="X35" s="4">
        <v>0.68</v>
      </c>
      <c r="Y35" s="5">
        <v>0.70799999999999996</v>
      </c>
      <c r="Z35" t="s">
        <v>380</v>
      </c>
      <c r="AA35" t="s">
        <v>505</v>
      </c>
      <c r="AB35">
        <v>128</v>
      </c>
      <c r="AD35">
        <f ca="1"/>
        <v>100</v>
      </c>
      <c r="AM35">
        <v>20</v>
      </c>
      <c r="AN35">
        <f>0</f>
        <v>0</v>
      </c>
      <c r="AO35">
        <f>IF(20&lt;=MIN(AP5,AO5),_xlfn.HYPGEOM.DIST(20,AP5,AO5,AN5,0),0)</f>
        <v>0</v>
      </c>
      <c r="AP35">
        <f>0</f>
        <v>0</v>
      </c>
      <c r="AQ35">
        <f>IF(20&lt;=MIN(AP7,AO7),_xlfn.HYPGEOM.DIST(20,AP7,AO7,AN7,0),0)</f>
        <v>0.33220264799212201</v>
      </c>
      <c r="AR35">
        <f>IF(20&lt;=MIN(AP8,AO8),_xlfn.HYPGEOM.DIST(20,AP8,AO8,AN8,0),0)</f>
        <v>0</v>
      </c>
      <c r="AS35">
        <f>IF(20&lt;=MIN(AP9,AO9),_xlfn.HYPGEOM.DIST(20,AP9,AO9,AN9,0),0)</f>
        <v>0</v>
      </c>
      <c r="AT35">
        <f>0</f>
        <v>0</v>
      </c>
      <c r="AU35">
        <f>AQ15*AO35+AQ16*AO34+AQ17*AO33+AQ18*AO32+AQ19*AO31+AQ20*AO30+AQ21*AO29+AQ22*AO28+AQ23*AO27+AQ24*AO26+AQ25*AO25+AQ26*AO24+AQ27*AO23+AQ28*AO22+AQ29*AO21+AQ30*AO20+AQ31*AO19+AQ32*AO18+AQ33*AO17+AQ34*AO16+AQ35*AO15</f>
        <v>3.7524959458266833E-3</v>
      </c>
      <c r="AV35">
        <f>IF(20&gt;=1,AU34,0)</f>
        <v>2.1589274358179003E-4</v>
      </c>
      <c r="AW35">
        <f>AV15*AR35+AV16*AR34+AV17*AR33+AV18*AR32+AV19*AR31+AV20*AR30+AV21*AR29+AV22*AR28+AV23*AR27+AV24*AR26+AV25*AR25+AV26*AR24+AV27*AR23+AV28*AR22+AV29*AR21+AV30*AR20+AV31*AR19+AV32*AR18+AV33*AR17+AV34*AR16+AV35*AR15</f>
        <v>4.0805204593859378E-6</v>
      </c>
      <c r="AX35">
        <f>AW15*AS35+AW16*AS34+AW17*AS33+AW18*AS32+AW19*AS31+AW20*AS30+AW21*AS29+AW22*AS28+AW23*AS27+AW24*AS26+AW25*AS25+AW26*AS24+AW27*AS23+AW28*AS22+AW29*AS21+AW30*AS20+AW31*AS19+AW32*AS18+AW33*AS17+AW34*AS16+AW35*AS15</f>
        <v>4.5786896634946924E-7</v>
      </c>
      <c r="AY35">
        <f t="shared" si="6"/>
        <v>4.5786896634946924E-7</v>
      </c>
    </row>
    <row r="36" spans="1:51" x14ac:dyDescent="0.2">
      <c r="A36" s="2" t="s">
        <v>77</v>
      </c>
      <c r="B36" s="3" t="s">
        <v>78</v>
      </c>
      <c r="C36" s="4">
        <v>0.68200000000000005</v>
      </c>
      <c r="D36" s="4">
        <v>0.69199999999999995</v>
      </c>
      <c r="E36" s="4">
        <v>0.69599999999999995</v>
      </c>
      <c r="F36" s="4">
        <v>0.70399999999999996</v>
      </c>
      <c r="G36" s="4">
        <v>0.71099999999999997</v>
      </c>
      <c r="H36" s="4">
        <v>0.71899999999999997</v>
      </c>
      <c r="I36" s="4">
        <v>0.72499999999999998</v>
      </c>
      <c r="J36" s="4">
        <v>0.73199999999999998</v>
      </c>
      <c r="K36" s="4">
        <v>0.73899999999999999</v>
      </c>
      <c r="L36" s="4">
        <v>0.746</v>
      </c>
      <c r="M36" s="4">
        <v>0.755</v>
      </c>
      <c r="N36" s="4">
        <v>0.76400000000000001</v>
      </c>
      <c r="O36" s="4">
        <v>0.77400000000000002</v>
      </c>
      <c r="P36" s="4">
        <v>0.77900000000000003</v>
      </c>
      <c r="Q36" s="4">
        <v>0.78800000000000003</v>
      </c>
      <c r="R36" s="4">
        <v>0.79100000000000004</v>
      </c>
      <c r="S36" s="4">
        <v>0.79400000000000004</v>
      </c>
      <c r="T36" s="4">
        <v>0.79700000000000004</v>
      </c>
      <c r="U36" s="4">
        <v>0.8</v>
      </c>
      <c r="V36" s="4">
        <v>0.80600000000000005</v>
      </c>
      <c r="W36" s="4">
        <v>0.79200000000000004</v>
      </c>
      <c r="X36" s="4">
        <v>0.79</v>
      </c>
      <c r="Y36" s="5">
        <v>0.79600000000000004</v>
      </c>
      <c r="Z36" t="s">
        <v>380</v>
      </c>
      <c r="AA36" t="s">
        <v>505</v>
      </c>
      <c r="AB36">
        <v>131</v>
      </c>
      <c r="AD36">
        <f ca="1"/>
        <v>6</v>
      </c>
      <c r="AM36">
        <v>21</v>
      </c>
      <c r="AN36">
        <f>0</f>
        <v>0</v>
      </c>
      <c r="AO36">
        <f>IF(21&lt;=MIN(AP5,AO5),_xlfn.HYPGEOM.DIST(21,AP5,AO5,AN5,0),0)</f>
        <v>0</v>
      </c>
      <c r="AP36">
        <f>0</f>
        <v>0</v>
      </c>
      <c r="AQ36">
        <f>IF(21&lt;=MIN(AP7,AO7),_xlfn.HYPGEOM.DIST(21,AP7,AO7,AN7,0),0)</f>
        <v>0.29529124265966511</v>
      </c>
      <c r="AR36">
        <f>IF(21&lt;=MIN(AP8,AO8),_xlfn.HYPGEOM.DIST(21,AP8,AO8,AN8,0),0)</f>
        <v>0</v>
      </c>
      <c r="AS36">
        <f>IF(21&lt;=MIN(AP9,AO9),_xlfn.HYPGEOM.DIST(21,AP9,AO9,AN9,0),0)</f>
        <v>0</v>
      </c>
      <c r="AT36">
        <f>0</f>
        <v>0</v>
      </c>
      <c r="AU36">
        <f>AQ15*AO36+AQ16*AO35+AQ17*AO34+AQ18*AO33+AQ19*AO32+AQ20*AO31+AQ21*AO30+AQ22*AO29+AQ23*AO28+AQ24*AO27+AQ25*AO26+AQ26*AO25+AQ27*AO24+AQ28*AO23+AQ29*AO22+AQ30*AO21+AQ31*AO20+AQ32*AO19+AQ33*AO18+AQ34*AO17+AQ35*AO16+AQ36*AO15</f>
        <v>2.8729831685320149E-2</v>
      </c>
      <c r="AV36">
        <f>IF(21&gt;=1,AU35,0)</f>
        <v>3.7524959458266833E-3</v>
      </c>
      <c r="AW36">
        <f>AV15*AR36+AV16*AR35+AV17*AR34+AV18*AR33+AV19*AR32+AV20*AR31+AV21*AR30+AV22*AR29+AV23*AR28+AV24*AR27+AV25*AR26+AV26*AR25+AV27*AR24+AV28*AR23+AV29*AR22+AV30*AR21+AV31*AR20+AV32*AR19+AV33*AR18+AV34*AR17+AV35*AR16+AV36*AR15</f>
        <v>1.1194532068469583E-4</v>
      </c>
      <c r="AX36">
        <f>AW15*AS36+AW16*AS35+AW17*AS34+AW18*AS33+AW19*AS32+AW20*AS31+AW21*AS30+AW22*AS29+AW23*AS28+AW24*AS27+AW25*AS26+AW26*AS25+AW27*AS24+AW28*AS23+AW29*AS22+AW30*AS21+AW31*AS20+AW32*AS19+AW33*AS18+AW34*AS17+AW35*AS16+AW36*AS15</f>
        <v>1.4867000481916926E-5</v>
      </c>
      <c r="AY36">
        <f t="shared" si="6"/>
        <v>1.4867000481916926E-5</v>
      </c>
    </row>
    <row r="37" spans="1:51" x14ac:dyDescent="0.2">
      <c r="A37" s="6" t="s">
        <v>107</v>
      </c>
      <c r="B37" s="7" t="s">
        <v>108</v>
      </c>
      <c r="C37" s="8">
        <v>0.65100000000000002</v>
      </c>
      <c r="D37" s="8">
        <v>0.65800000000000003</v>
      </c>
      <c r="E37" s="8">
        <v>0.66300000000000003</v>
      </c>
      <c r="F37" s="8">
        <v>0.66900000000000004</v>
      </c>
      <c r="G37" s="8">
        <v>0.67900000000000005</v>
      </c>
      <c r="H37" s="8">
        <v>0.68600000000000005</v>
      </c>
      <c r="I37" s="8">
        <v>0.69299999999999995</v>
      </c>
      <c r="J37" s="8">
        <v>0.7</v>
      </c>
      <c r="K37" s="8">
        <v>0.70499999999999996</v>
      </c>
      <c r="L37" s="8">
        <v>0.70899999999999996</v>
      </c>
      <c r="M37" s="8">
        <v>0.71299999999999997</v>
      </c>
      <c r="N37" s="8">
        <v>0.71499999999999997</v>
      </c>
      <c r="O37" s="8">
        <v>0.71599999999999997</v>
      </c>
      <c r="P37" s="8">
        <v>0.71899999999999997</v>
      </c>
      <c r="Q37" s="8">
        <v>0.72099999999999997</v>
      </c>
      <c r="R37" s="8">
        <v>0.72399999999999998</v>
      </c>
      <c r="S37" s="8">
        <v>0.72799999999999998</v>
      </c>
      <c r="T37" s="8">
        <v>0.73199999999999998</v>
      </c>
      <c r="U37" s="8">
        <v>0.73699999999999999</v>
      </c>
      <c r="V37" s="8">
        <v>0.74</v>
      </c>
      <c r="W37" s="8">
        <v>0.73399999999999999</v>
      </c>
      <c r="X37" s="8">
        <v>0.72899999999999998</v>
      </c>
      <c r="Y37" s="9">
        <v>0.73199999999999998</v>
      </c>
      <c r="Z37" t="s">
        <v>380</v>
      </c>
      <c r="AA37" t="s">
        <v>505</v>
      </c>
      <c r="AB37">
        <v>133</v>
      </c>
      <c r="AD37">
        <f ca="1"/>
        <v>13</v>
      </c>
      <c r="AM37">
        <v>22</v>
      </c>
      <c r="AN37">
        <f>0</f>
        <v>0</v>
      </c>
      <c r="AO37">
        <f>IF(22&lt;=MIN(AP5,AO5),_xlfn.HYPGEOM.DIST(22,AP5,AO5,AN5,0),0)</f>
        <v>0</v>
      </c>
      <c r="AP37">
        <f>0</f>
        <v>0</v>
      </c>
      <c r="AQ37">
        <f>IF(22&lt;=MIN(AP7,AO7),_xlfn.HYPGEOM.DIST(22,AP7,AO7,AN7,0),0)</f>
        <v>0.13086770981507834</v>
      </c>
      <c r="AR37">
        <f>IF(22&lt;=MIN(AP8,AO8),_xlfn.HYPGEOM.DIST(22,AP8,AO8,AN8,0),0)</f>
        <v>0</v>
      </c>
      <c r="AS37">
        <f>IF(22&lt;=MIN(AP9,AO9),_xlfn.HYPGEOM.DIST(22,AP9,AO9,AN9,0),0)</f>
        <v>0</v>
      </c>
      <c r="AT37">
        <f>0</f>
        <v>0</v>
      </c>
      <c r="AU37">
        <f>AQ15*AO37+AQ16*AO36+AQ17*AO35+AQ18*AO34+AQ19*AO33+AQ20*AO32+AQ21*AO31+AQ22*AO30+AQ23*AO29+AQ24*AO28+AQ25*AO27+AQ26*AO26+AQ27*AO25+AQ28*AO24+AQ29*AO23+AQ30*AO22+AQ31*AO21+AQ32*AO20+AQ33*AO19+AQ34*AO18+AQ35*AO17+AQ36*AO16+AQ37*AO15</f>
        <v>0.11260118026097034</v>
      </c>
      <c r="AV37">
        <f>IF(22&gt;=1,AU36,0)</f>
        <v>2.8729831685320149E-2</v>
      </c>
      <c r="AW37">
        <f>AV15*AR37+AV16*AR36+AV17*AR35+AV18*AR34+AV19*AR33+AV20*AR32+AV21*AR31+AV22*AR30+AV23*AR29+AV24*AR28+AV25*AR27+AV26*AR26+AV27*AR25+AV28*AR24+AV29*AR23+AV30*AR22+AV31*AR21+AV32*AR20+AV33*AR19+AV34*AR18+AV35*AR17+AV36*AR16+AV37*AR15</f>
        <v>1.5326469804695958E-3</v>
      </c>
      <c r="AX37">
        <f>AW15*AS37+AW16*AS36+AW17*AS35+AW18*AS34+AW19*AS33+AW20*AS32+AW21*AS31+AW22*AS30+AW23*AS29+AW24*AS28+AW25*AS27+AW26*AS26+AW27*AS25+AW28*AS24+AW29*AS23+AW30*AS22+AW31*AS21+AW32*AS20+AW33*AS19+AW34*AS18+AW35*AS17+AW36*AS16+AW37*AS15</f>
        <v>2.5401548666318584E-4</v>
      </c>
      <c r="AY37">
        <f t="shared" si="6"/>
        <v>2.5401548666318584E-4</v>
      </c>
    </row>
    <row r="38" spans="1:51" x14ac:dyDescent="0.2">
      <c r="A38" s="2" t="s">
        <v>241</v>
      </c>
      <c r="B38" s="3" t="s">
        <v>242</v>
      </c>
      <c r="C38" s="4">
        <v>0.41799999999999998</v>
      </c>
      <c r="D38" s="4">
        <v>0.42599999999999999</v>
      </c>
      <c r="E38" s="4">
        <v>0.434</v>
      </c>
      <c r="F38" s="4">
        <v>0.44800000000000001</v>
      </c>
      <c r="G38" s="4">
        <v>0.45900000000000002</v>
      </c>
      <c r="H38" s="4">
        <v>0.47199999999999998</v>
      </c>
      <c r="I38" s="4">
        <v>0.48399999999999999</v>
      </c>
      <c r="J38" s="4">
        <v>0.495</v>
      </c>
      <c r="K38" s="4">
        <v>0.50600000000000001</v>
      </c>
      <c r="L38" s="4">
        <v>0.51900000000000002</v>
      </c>
      <c r="M38" s="4">
        <v>0.52800000000000002</v>
      </c>
      <c r="N38" s="4">
        <v>0.53400000000000003</v>
      </c>
      <c r="O38" s="4">
        <v>0.54800000000000004</v>
      </c>
      <c r="P38" s="4">
        <v>0.55400000000000005</v>
      </c>
      <c r="Q38" s="4">
        <v>0.55700000000000005</v>
      </c>
      <c r="R38" s="4">
        <v>0.56299999999999994</v>
      </c>
      <c r="S38" s="4">
        <v>0.56399999999999995</v>
      </c>
      <c r="T38" s="4">
        <v>0.56799999999999995</v>
      </c>
      <c r="U38" s="4">
        <v>0.57099999999999995</v>
      </c>
      <c r="V38" s="4">
        <v>0.57399999999999995</v>
      </c>
      <c r="W38" s="4">
        <v>0.56899999999999995</v>
      </c>
      <c r="X38" s="4">
        <v>0.56499999999999995</v>
      </c>
      <c r="Y38" s="5">
        <v>0.56899999999999995</v>
      </c>
      <c r="Z38" t="s">
        <v>380</v>
      </c>
      <c r="AA38" t="s">
        <v>505</v>
      </c>
      <c r="AB38">
        <v>136</v>
      </c>
      <c r="AD38">
        <f ca="1"/>
        <v>82</v>
      </c>
      <c r="AM38">
        <v>23</v>
      </c>
      <c r="AN38">
        <f>0</f>
        <v>0</v>
      </c>
      <c r="AO38">
        <f>IF(23&lt;=MIN(AP5,AO5),_xlfn.HYPGEOM.DIST(23,AP5,AO5,AN5,0),0)</f>
        <v>0</v>
      </c>
      <c r="AP38">
        <f>0</f>
        <v>0</v>
      </c>
      <c r="AQ38">
        <f>IF(23&lt;=MIN(AP7,AO7),_xlfn.HYPGEOM.DIST(23,AP7,AO7,AN7,0),0)</f>
        <v>2.7311522048364123E-2</v>
      </c>
      <c r="AR38">
        <f>IF(23&lt;=MIN(AP8,AO8),_xlfn.HYPGEOM.DIST(23,AP8,AO8,AN8,0),0)</f>
        <v>0</v>
      </c>
      <c r="AS38">
        <f>IF(23&lt;=MIN(AP9,AO9),_xlfn.HYPGEOM.DIST(23,AP9,AO9,AN9,0),0)</f>
        <v>0</v>
      </c>
      <c r="AT38">
        <f>0</f>
        <v>0</v>
      </c>
      <c r="AU38">
        <f>AQ15*AO38+AQ16*AO37+AQ17*AO36+AQ18*AO35+AQ19*AO34+AQ20*AO33+AQ21*AO32+AQ22*AO31+AQ23*AO30+AQ24*AO29+AQ25*AO28+AQ26*AO27+AQ27*AO26+AQ28*AO25+AQ29*AO24+AQ30*AO23+AQ31*AO22+AQ32*AO21+AQ33*AO20+AQ34*AO19+AQ35*AO18+AQ36*AO17+AQ37*AO16+AQ38*AO15</f>
        <v>0.24387767576709837</v>
      </c>
      <c r="AV38">
        <f>IF(23&gt;=1,AU37,0)</f>
        <v>0.11260118026097034</v>
      </c>
      <c r="AW38">
        <f>AV15*AR38+AV16*AR37+AV17*AR36+AV18*AR35+AV19*AR34+AV20*AR33+AV21*AR32+AV22*AR31+AV23*AR30+AV24*AR29+AV25*AR28+AV26*AR27+AV27*AR26+AV28*AR25+AV29*AR24+AV30*AR23+AV31*AR22+AV32*AR21+AV33*AR20+AV34*AR19+AV35*AR18+AV36*AR17+AV37*AR16+AV38*AR15</f>
        <v>1.173022062619848E-2</v>
      </c>
      <c r="AX38">
        <f>AW15*AS38+AW16*AS37+AW17*AS36+AW18*AS35+AW19*AS34+AW20*AS33+AW21*AS32+AW22*AS31+AW23*AS30+AW24*AS29+AW25*AS28+AW26*AS27+AW27*AS26+AW28*AS25+AW29*AS24+AW30*AS23+AW31*AS22+AW32*AS21+AW33*AS20+AW34*AS19+AW35*AS18+AW36*AS17+AW37*AS16+AW38*AS15</f>
        <v>2.5524043450424845E-3</v>
      </c>
      <c r="AY38">
        <f t="shared" si="6"/>
        <v>2.5524043450424845E-3</v>
      </c>
    </row>
    <row r="39" spans="1:51" x14ac:dyDescent="0.2">
      <c r="A39" s="6" t="s">
        <v>159</v>
      </c>
      <c r="B39" s="7" t="s">
        <v>160</v>
      </c>
      <c r="C39" s="8">
        <v>0.38800000000000001</v>
      </c>
      <c r="D39" s="8">
        <v>0.39500000000000002</v>
      </c>
      <c r="E39" s="8">
        <v>0.39900000000000002</v>
      </c>
      <c r="F39" s="8">
        <v>0.40699999999999997</v>
      </c>
      <c r="G39" s="8">
        <v>0.41399999999999998</v>
      </c>
      <c r="H39" s="8">
        <v>0.42099999999999999</v>
      </c>
      <c r="I39" s="8">
        <v>0.42899999999999999</v>
      </c>
      <c r="J39" s="8">
        <v>0.442</v>
      </c>
      <c r="K39" s="8">
        <v>0.45400000000000001</v>
      </c>
      <c r="L39" s="8">
        <v>0.46100000000000002</v>
      </c>
      <c r="M39" s="8">
        <v>0.47</v>
      </c>
      <c r="N39" s="8">
        <v>0.48299999999999998</v>
      </c>
      <c r="O39" s="8">
        <v>0.49099999999999999</v>
      </c>
      <c r="P39" s="8">
        <v>0.497</v>
      </c>
      <c r="Q39" s="8">
        <v>0.501</v>
      </c>
      <c r="R39" s="8">
        <v>0.501</v>
      </c>
      <c r="S39" s="8">
        <v>0.51</v>
      </c>
      <c r="T39" s="8">
        <v>0.51100000000000001</v>
      </c>
      <c r="U39" s="8">
        <v>0.51500000000000001</v>
      </c>
      <c r="V39" s="8">
        <v>0.51400000000000001</v>
      </c>
      <c r="W39" s="8">
        <v>0.51400000000000001</v>
      </c>
      <c r="X39" s="8">
        <v>0.51200000000000001</v>
      </c>
      <c r="Y39" s="9">
        <v>0.51700000000000002</v>
      </c>
      <c r="Z39" t="s">
        <v>380</v>
      </c>
      <c r="AA39" t="s">
        <v>505</v>
      </c>
      <c r="AB39">
        <v>137</v>
      </c>
      <c r="AD39">
        <f ca="1"/>
        <v>21</v>
      </c>
      <c r="AM39">
        <v>24</v>
      </c>
      <c r="AN39">
        <f>0</f>
        <v>0</v>
      </c>
      <c r="AO39">
        <f>IF(24&lt;=MIN(AP5,AO5),_xlfn.HYPGEOM.DIST(24,AP5,AO5,AN5,0),0)</f>
        <v>0</v>
      </c>
      <c r="AP39">
        <f>0</f>
        <v>0</v>
      </c>
      <c r="AQ39">
        <f>IF(24&lt;=MIN(AP7,AO7),_xlfn.HYPGEOM.DIST(24,AP7,AO7,AN7,0),0)</f>
        <v>2.086296823138926E-3</v>
      </c>
      <c r="AR39">
        <f>IF(24&lt;=MIN(AP8,AO8),_xlfn.HYPGEOM.DIST(24,AP8,AO8,AN8,0),0)</f>
        <v>0</v>
      </c>
      <c r="AS39">
        <f>IF(24&lt;=MIN(AP9,AO9),_xlfn.HYPGEOM.DIST(24,AP9,AO9,AN9,0),0)</f>
        <v>0</v>
      </c>
      <c r="AT39">
        <f>0</f>
        <v>0</v>
      </c>
      <c r="AU39">
        <f>AQ15*AO39+AQ16*AO38+AQ17*AO37+AQ18*AO36+AQ19*AO35+AQ20*AO34+AQ21*AO33+AQ22*AO32+AQ23*AO31+AQ24*AO30+AQ25*AO29+AQ26*AO28+AQ27*AO27+AQ28*AO26+AQ29*AO25+AQ30*AO24+AQ31*AO23+AQ32*AO22+AQ33*AO21+AQ34*AO20+AQ35*AO19+AQ36*AO18+AQ37*AO17+AQ38*AO16+AQ39*AO15</f>
        <v>0.30105699443252126</v>
      </c>
      <c r="AV39">
        <f>IF(24&gt;=1,AU38,0)</f>
        <v>0.24387767576709837</v>
      </c>
      <c r="AW39">
        <f>AV15*AR39+AV16*AR38+AV17*AR37+AV18*AR36+AV19*AR35+AV20*AR34+AV21*AR33+AV22*AR32+AV23*AR31+AV24*AR30+AV25*AR29+AV26*AR28+AV27*AR27+AV28*AR26+AV29*AR25+AV30*AR24+AV31*AR23+AV32*AR22+AV33*AR21+AV34*AR20+AV35*AR19+AV36*AR18+AV37*AR17+AV38*AR16+AV39*AR15</f>
        <v>5.3370290520227008E-2</v>
      </c>
      <c r="AX39">
        <f>AW15*AS39+AW16*AS38+AW17*AS37+AW18*AS36+AW19*AS35+AW20*AS34+AW21*AS33+AW22*AS32+AW23*AS31+AW24*AS30+AW25*AS29+AW26*AS28+AW27*AS27+AW28*AS26+AW29*AS25+AW30*AS24+AW31*AS23+AW32*AS22+AW33*AS21+AW34*AS20+AW35*AS19+AW36*AS18+AW37*AS17+AW38*AS16+AW39*AS15</f>
        <v>1.5894227615601334E-2</v>
      </c>
      <c r="AY39">
        <f t="shared" si="6"/>
        <v>1.5894227615601334E-2</v>
      </c>
    </row>
    <row r="40" spans="1:51" x14ac:dyDescent="0.2">
      <c r="A40" s="2" t="s">
        <v>145</v>
      </c>
      <c r="B40" s="3" t="s">
        <v>146</v>
      </c>
      <c r="C40" s="4">
        <v>0.378</v>
      </c>
      <c r="D40" s="4">
        <v>0.38600000000000001</v>
      </c>
      <c r="E40" s="4">
        <v>0.39400000000000002</v>
      </c>
      <c r="F40" s="4">
        <v>0.40200000000000002</v>
      </c>
      <c r="G40" s="4">
        <v>0.41</v>
      </c>
      <c r="H40" s="4">
        <v>0.41699999999999998</v>
      </c>
      <c r="I40" s="4">
        <v>0.42599999999999999</v>
      </c>
      <c r="J40" s="4">
        <v>0.433</v>
      </c>
      <c r="K40" s="4">
        <v>0.442</v>
      </c>
      <c r="L40" s="4">
        <v>0.45200000000000001</v>
      </c>
      <c r="M40" s="4">
        <v>0.46100000000000002</v>
      </c>
      <c r="N40" s="4">
        <v>0.46899999999999997</v>
      </c>
      <c r="O40" s="4">
        <v>0.47599999999999998</v>
      </c>
      <c r="P40" s="4">
        <v>0.48399999999999999</v>
      </c>
      <c r="Q40" s="4">
        <v>0.49299999999999999</v>
      </c>
      <c r="R40" s="4">
        <v>0.498</v>
      </c>
      <c r="S40" s="4">
        <v>0.501</v>
      </c>
      <c r="T40" s="4">
        <v>0.50600000000000001</v>
      </c>
      <c r="U40" s="4">
        <v>0.50900000000000001</v>
      </c>
      <c r="V40" s="4">
        <v>0.51400000000000001</v>
      </c>
      <c r="W40" s="4">
        <v>0.51200000000000001</v>
      </c>
      <c r="X40" s="4">
        <v>0.50900000000000001</v>
      </c>
      <c r="Y40" s="5">
        <v>0.50800000000000001</v>
      </c>
      <c r="Z40" t="s">
        <v>380</v>
      </c>
      <c r="AA40" t="s">
        <v>505</v>
      </c>
      <c r="AB40">
        <v>147</v>
      </c>
      <c r="AD40">
        <f ca="1"/>
        <v>43</v>
      </c>
      <c r="AM40">
        <v>25</v>
      </c>
      <c r="AN40">
        <f>0</f>
        <v>0</v>
      </c>
      <c r="AO40">
        <f>IF(25&lt;=MIN(AP5,AO5),_xlfn.HYPGEOM.DIST(25,AP5,AO5,AN5,0),0)</f>
        <v>0</v>
      </c>
      <c r="AP40">
        <f>0</f>
        <v>0</v>
      </c>
      <c r="AQ40">
        <f>IF(25&lt;=MIN(AP7,AO7),_xlfn.HYPGEOM.DIST(25,AP7,AO7,AN7,0),0)</f>
        <v>0</v>
      </c>
      <c r="AR40">
        <f>IF(25&lt;=MIN(AP8,AO8),_xlfn.HYPGEOM.DIST(25,AP8,AO8,AN8,0),0)</f>
        <v>0</v>
      </c>
      <c r="AS40">
        <f>IF(25&lt;=MIN(AP9,AO9),_xlfn.HYPGEOM.DIST(25,AP9,AO9,AN9,0),0)</f>
        <v>0</v>
      </c>
      <c r="AT40">
        <f>0</f>
        <v>0</v>
      </c>
      <c r="AU40">
        <f>AQ15*AO40+AQ16*AO39+AQ17*AO38+AQ18*AO37+AQ19*AO36+AQ20*AO35+AQ21*AO34+AQ22*AO33+AQ23*AO32+AQ24*AO31+AQ25*AO30+AQ26*AO29+AQ27*AO28+AQ28*AO27+AQ29*AO26+AQ30*AO25+AQ31*AO24+AQ32*AO23+AQ33*AO22+AQ34*AO21+AQ35*AO20+AQ36*AO19+AQ37*AO18+AQ38*AO17+AQ39*AO16+AQ40*AO15</f>
        <v>0.21149390179452643</v>
      </c>
      <c r="AV40">
        <f>IF(25&gt;=1,AU39,0)</f>
        <v>0.30105699443252126</v>
      </c>
      <c r="AW40">
        <f>AV15*AR40+AV16*AR39+AV17*AR38+AV18*AR37+AV19*AR36+AV20*AR35+AV21*AR34+AV22*AR33+AV23*AR32+AV24*AR31+AV25*AR30+AV26*AR29+AV27*AR28+AV28*AR27+AV29*AR26+AV30*AR25+AV31*AR24+AV32*AR23+AV33*AR22+AV34*AR21+AV35*AR20+AV36*AR19+AV37*AR18+AV38*AR17+AV39*AR16+AV40*AR15</f>
        <v>0.14905021930785392</v>
      </c>
      <c r="AX40">
        <f>AW15*AS40+AW16*AS39+AW17*AS38+AW18*AS37+AW19*AS36+AW20*AS35+AW21*AS34+AW22*AS33+AW23*AS32+AW24*AS31+AW25*AS30+AW26*AS29+AW27*AS28+AW28*AS27+AW29*AS26+AW30*AS25+AW31*AS24+AW32*AS23+AW33*AS22+AW34*AS21+AW35*AS20+AW36*AS19+AW37*AS18+AW38*AS17+AW39*AS16+AW40*AS15</f>
        <v>6.2938283398989714E-2</v>
      </c>
      <c r="AY40">
        <f t="shared" si="6"/>
        <v>6.2938283398989714E-2</v>
      </c>
    </row>
    <row r="41" spans="1:51" x14ac:dyDescent="0.2">
      <c r="A41" s="6" t="s">
        <v>127</v>
      </c>
      <c r="B41" s="7" t="s">
        <v>128</v>
      </c>
      <c r="C41" s="8">
        <v>0.45400000000000001</v>
      </c>
      <c r="D41" s="8">
        <v>0.45300000000000001</v>
      </c>
      <c r="E41" s="8">
        <v>0.45100000000000001</v>
      </c>
      <c r="F41" s="8">
        <v>0.45</v>
      </c>
      <c r="G41" s="8">
        <v>0.45100000000000001</v>
      </c>
      <c r="H41" s="8">
        <v>0.45300000000000001</v>
      </c>
      <c r="I41" s="8">
        <v>0.45500000000000002</v>
      </c>
      <c r="J41" s="8">
        <v>0.45800000000000002</v>
      </c>
      <c r="K41" s="8">
        <v>0.46100000000000002</v>
      </c>
      <c r="L41" s="8">
        <v>0.46500000000000002</v>
      </c>
      <c r="M41" s="8">
        <v>0.47</v>
      </c>
      <c r="N41" s="8">
        <v>0.46800000000000003</v>
      </c>
      <c r="O41" s="8">
        <v>0.47399999999999998</v>
      </c>
      <c r="P41" s="8">
        <v>0.48</v>
      </c>
      <c r="Q41" s="8">
        <v>0.499</v>
      </c>
      <c r="R41" s="8">
        <v>0.501</v>
      </c>
      <c r="S41" s="8">
        <v>0.50600000000000001</v>
      </c>
      <c r="T41" s="8">
        <v>0.51500000000000001</v>
      </c>
      <c r="U41" s="8">
        <v>0.52200000000000002</v>
      </c>
      <c r="V41" s="8">
        <v>0.52900000000000003</v>
      </c>
      <c r="W41" s="8">
        <v>0.53</v>
      </c>
      <c r="X41" s="8">
        <v>0.53</v>
      </c>
      <c r="Y41" s="9">
        <v>0.53400000000000003</v>
      </c>
      <c r="Z41" t="s">
        <v>380</v>
      </c>
      <c r="AA41" t="s">
        <v>505</v>
      </c>
      <c r="AB41">
        <v>149</v>
      </c>
      <c r="AD41">
        <f ca="1"/>
        <v>59</v>
      </c>
      <c r="AM41">
        <v>26</v>
      </c>
      <c r="AN41">
        <f>0</f>
        <v>0</v>
      </c>
      <c r="AO41">
        <f>IF(26&lt;=MIN(AP5,AO5),_xlfn.HYPGEOM.DIST(26,AP5,AO5,AN5,0),0)</f>
        <v>0</v>
      </c>
      <c r="AP41">
        <f>0</f>
        <v>0</v>
      </c>
      <c r="AQ41">
        <f>IF(26&lt;=MIN(AP7,AO7),_xlfn.HYPGEOM.DIST(26,AP7,AO7,AN7,0),0)</f>
        <v>0</v>
      </c>
      <c r="AR41">
        <f>IF(26&lt;=MIN(AP8,AO8),_xlfn.HYPGEOM.DIST(26,AP8,AO8,AN8,0),0)</f>
        <v>0</v>
      </c>
      <c r="AS41">
        <f>IF(26&lt;=MIN(AP9,AO9),_xlfn.HYPGEOM.DIST(26,AP9,AO9,AN9,0),0)</f>
        <v>0</v>
      </c>
      <c r="AT41">
        <f>0</f>
        <v>0</v>
      </c>
      <c r="AU41">
        <f>AQ15*AO41+AQ16*AO40+AQ17*AO39+AQ18*AO38+AQ19*AO37+AQ20*AO36+AQ21*AO35+AQ22*AO34+AQ23*AO33+AQ24*AO32+AQ25*AO31+AQ26*AO30+AQ27*AO29+AQ28*AO28+AQ29*AO27+AQ30*AO26+AQ31*AO25+AQ32*AO24+AQ33*AO23+AQ34*AO22+AQ35*AO21+AQ36*AO20+AQ37*AO19+AQ38*AO18+AQ39*AO17+AQ40*AO16+AQ41*AO15</f>
        <v>8.1505108617984406E-2</v>
      </c>
      <c r="AV41">
        <f>IF(26&gt;=1,AU40,0)</f>
        <v>0.21149390179452643</v>
      </c>
      <c r="AW41">
        <f>AV15*AR41+AV16*AR40+AV17*AR39+AV18*AR38+AV19*AR37+AV20*AR36+AV21*AR35+AV22*AR34+AV23*AR33+AV24*AR32+AV25*AR31+AV26*AR30+AV27*AR29+AV28*AR28+AV29*AR27+AV30*AR26+AV31*AR25+AV32*AR24+AV33*AR23+AV34*AR22+AV35*AR21+AV36*AR20+AV37*AR19+AV38*AR18+AV39*AR17+AV40*AR16+AV41*AR15</f>
        <v>0.25811830379574169</v>
      </c>
      <c r="AX41">
        <f>AW15*AS41+AW16*AS40+AW17*AS39+AW18*AS38+AW19*AS37+AW20*AS36+AW21*AS35+AW22*AS34+AW23*AS33+AW24*AS32+AW25*AS31+AW26*AS30+AW27*AS29+AW28*AS28+AW29*AS27+AW30*AS26+AW31*AS25+AW32*AS24+AW33*AS23+AW34*AS22+AW35*AS21+AW36*AS20+AW37*AS19+AW38*AS18+AW39*AS17+AW40*AS16+AW41*AS15</f>
        <v>0.15995702775664269</v>
      </c>
      <c r="AY41">
        <f t="shared" si="6"/>
        <v>0.15995702775664269</v>
      </c>
    </row>
    <row r="42" spans="1:51" x14ac:dyDescent="0.2">
      <c r="A42" s="2" t="s">
        <v>153</v>
      </c>
      <c r="B42" s="3" t="s">
        <v>154</v>
      </c>
      <c r="C42" s="4">
        <v>0.26</v>
      </c>
      <c r="D42" s="4">
        <v>0.26600000000000001</v>
      </c>
      <c r="E42" s="4">
        <v>0.27100000000000002</v>
      </c>
      <c r="F42" s="4">
        <v>0.27600000000000002</v>
      </c>
      <c r="G42" s="4">
        <v>0.28599999999999998</v>
      </c>
      <c r="H42" s="4">
        <v>0.29599999999999999</v>
      </c>
      <c r="I42" s="4">
        <v>0.30299999999999999</v>
      </c>
      <c r="J42" s="4">
        <v>0.309</v>
      </c>
      <c r="K42" s="4">
        <v>0.318</v>
      </c>
      <c r="L42" s="4">
        <v>0.32500000000000001</v>
      </c>
      <c r="M42" s="4">
        <v>0.33600000000000002</v>
      </c>
      <c r="N42" s="4">
        <v>0.34399999999999997</v>
      </c>
      <c r="O42" s="4">
        <v>0.35199999999999998</v>
      </c>
      <c r="P42" s="4">
        <v>0.35799999999999998</v>
      </c>
      <c r="Q42" s="4">
        <v>0.36299999999999999</v>
      </c>
      <c r="R42" s="4">
        <v>0.36699999999999999</v>
      </c>
      <c r="S42" s="4">
        <v>0.372</v>
      </c>
      <c r="T42" s="4">
        <v>0.377</v>
      </c>
      <c r="U42" s="4">
        <v>0.38300000000000001</v>
      </c>
      <c r="V42" s="4">
        <v>0.39</v>
      </c>
      <c r="W42" s="4">
        <v>0.39100000000000001</v>
      </c>
      <c r="X42" s="4">
        <v>0.38900000000000001</v>
      </c>
      <c r="Y42" s="5">
        <v>0.39400000000000002</v>
      </c>
      <c r="Z42" t="s">
        <v>380</v>
      </c>
      <c r="AA42" t="s">
        <v>505</v>
      </c>
      <c r="AB42">
        <v>150</v>
      </c>
      <c r="AD42">
        <f ca="1"/>
        <v>135</v>
      </c>
      <c r="AM42">
        <v>27</v>
      </c>
      <c r="AN42">
        <f>0</f>
        <v>0</v>
      </c>
      <c r="AO42">
        <f>IF(27&lt;=MIN(AP5,AO5),_xlfn.HYPGEOM.DIST(27,AP5,AO5,AN5,0),0)</f>
        <v>0</v>
      </c>
      <c r="AP42">
        <f>0</f>
        <v>0</v>
      </c>
      <c r="AQ42">
        <f>IF(27&lt;=MIN(AP7,AO7),_xlfn.HYPGEOM.DIST(27,AP7,AO7,AN7,0),0)</f>
        <v>0</v>
      </c>
      <c r="AR42">
        <f>IF(27&lt;=MIN(AP8,AO8),_xlfn.HYPGEOM.DIST(27,AP8,AO8,AN8,0),0)</f>
        <v>0</v>
      </c>
      <c r="AS42">
        <f>IF(27&lt;=MIN(AP9,AO9),_xlfn.HYPGEOM.DIST(27,AP9,AO9,AN9,0),0)</f>
        <v>0</v>
      </c>
      <c r="AT42">
        <f>0</f>
        <v>0</v>
      </c>
      <c r="AU42">
        <f>AQ15*AO42+AQ16*AO41+AQ17*AO40+AQ18*AO39+AQ19*AO38+AQ20*AO37+AQ21*AO36+AQ22*AO35+AQ23*AO34+AQ24*AO33+AQ25*AO32+AQ26*AO31+AQ27*AO30+AQ28*AO29+AQ29*AO28+AQ30*AO27+AQ31*AO26+AQ32*AO25+AQ33*AO24+AQ34*AO23+AQ35*AO22+AQ36*AO21+AQ37*AO20+AQ38*AO19+AQ39*AO18+AQ40*AO17+AQ41*AO16+AQ42*AO15</f>
        <v>1.5628614153855195E-2</v>
      </c>
      <c r="AV42">
        <f>IF(27&gt;=1,AU41,0)</f>
        <v>8.1505108617984406E-2</v>
      </c>
      <c r="AW42">
        <f>AV15*AR42+AV16*AR41+AV17*AR40+AV18*AR39+AV19*AR38+AV20*AR37+AV21*AR36+AV22*AR35+AV23*AR34+AV24*AR33+AV25*AR32+AV26*AR31+AV27*AR30+AV28*AR29+AV29*AR28+AV30*AR27+AV31*AR26+AV32*AR25+AV33*AR24+AV34*AR23+AV35*AR22+AV36*AR21+AV37*AR20+AV38*AR19+AV39*AR18+AV40*AR17+AV41*AR16+AV42*AR15</f>
        <v>0.27489002938540047</v>
      </c>
      <c r="AX42">
        <f>AW15*AS42+AW16*AS41+AW17*AS40+AW18*AS39+AW19*AS38+AW20*AS37+AW21*AS36+AW22*AS35+AW23*AS34+AW24*AS33+AW25*AS32+AW26*AS31+AW27*AS30+AW28*AS29+AW29*AS28+AW30*AS27+AW31*AS26+AW32*AS25+AW33*AS24+AW34*AS23+AW35*AS22+AW36*AS21+AW37*AS20+AW38*AS19+AW39*AS18+AW40*AS17+AW41*AS16+AW42*AS15</f>
        <v>0.25979547635470762</v>
      </c>
      <c r="AY42">
        <f t="shared" si="6"/>
        <v>0.25979547635470762</v>
      </c>
    </row>
    <row r="43" spans="1:51" x14ac:dyDescent="0.2">
      <c r="A43" s="2" t="s">
        <v>217</v>
      </c>
      <c r="B43" s="3" t="s">
        <v>218</v>
      </c>
      <c r="C43" s="4">
        <v>0.54900000000000004</v>
      </c>
      <c r="D43" s="4">
        <v>0.54400000000000004</v>
      </c>
      <c r="E43" s="4">
        <v>0.54400000000000004</v>
      </c>
      <c r="F43" s="4">
        <v>0.54700000000000004</v>
      </c>
      <c r="G43" s="4">
        <v>0.55100000000000005</v>
      </c>
      <c r="H43" s="4">
        <v>0.55300000000000005</v>
      </c>
      <c r="I43" s="4">
        <v>0.55900000000000005</v>
      </c>
      <c r="J43" s="4">
        <v>0.56699999999999995</v>
      </c>
      <c r="K43" s="4">
        <v>0.57399999999999995</v>
      </c>
      <c r="L43" s="4">
        <v>0.57899999999999996</v>
      </c>
      <c r="M43" s="4">
        <v>0.58399999999999996</v>
      </c>
      <c r="N43" s="4">
        <v>0.59</v>
      </c>
      <c r="O43" s="4">
        <v>0.59899999999999998</v>
      </c>
      <c r="P43" s="4">
        <v>0.61</v>
      </c>
      <c r="Q43" s="4">
        <v>0.61899999999999999</v>
      </c>
      <c r="R43" s="4">
        <v>0.627</v>
      </c>
      <c r="S43" s="4">
        <v>0.63100000000000001</v>
      </c>
      <c r="T43" s="4">
        <v>0.63400000000000001</v>
      </c>
      <c r="U43" s="4">
        <v>0.63500000000000001</v>
      </c>
      <c r="V43" s="4">
        <v>0.63800000000000001</v>
      </c>
      <c r="W43" s="4">
        <v>0.63400000000000001</v>
      </c>
      <c r="X43" s="4">
        <v>0.61599999999999999</v>
      </c>
      <c r="Y43" s="5">
        <v>0.61</v>
      </c>
      <c r="Z43" t="s">
        <v>380</v>
      </c>
      <c r="AA43" t="s">
        <v>505</v>
      </c>
      <c r="AB43">
        <v>158</v>
      </c>
      <c r="AD43">
        <f ca="1"/>
        <v>10</v>
      </c>
      <c r="AM43">
        <v>28</v>
      </c>
      <c r="AN43">
        <f>0</f>
        <v>0</v>
      </c>
      <c r="AO43">
        <f>IF(28&lt;=MIN(AP5,AO5),_xlfn.HYPGEOM.DIST(28,AP5,AO5,AN5,0),0)</f>
        <v>0</v>
      </c>
      <c r="AP43">
        <f>0</f>
        <v>0</v>
      </c>
      <c r="AQ43">
        <f>IF(28&lt;=MIN(AP7,AO7),_xlfn.HYPGEOM.DIST(28,AP7,AO7,AN7,0),0)</f>
        <v>0</v>
      </c>
      <c r="AR43">
        <f>IF(28&lt;=MIN(AP8,AO8),_xlfn.HYPGEOM.DIST(28,AP8,AO8,AN8,0),0)</f>
        <v>0</v>
      </c>
      <c r="AS43">
        <f>IF(28&lt;=MIN(AP9,AO9),_xlfn.HYPGEOM.DIST(28,AP9,AO9,AN9,0),0)</f>
        <v>0</v>
      </c>
      <c r="AT43">
        <f>0</f>
        <v>0</v>
      </c>
      <c r="AU43">
        <f>AQ15*AO43+AQ16*AO42+AQ17*AO41+AQ18*AO40+AQ19*AO39+AQ20*AO38+AQ21*AO37+AQ22*AO36+AQ23*AO35+AQ24*AO34+AQ25*AO33+AQ26*AO32+AQ27*AO31+AQ28*AO30+AQ29*AO29+AQ30*AO28+AQ31*AO27+AQ32*AO26+AQ33*AO25+AQ34*AO24+AQ35*AO23+AQ36*AO22+AQ37*AO21+AQ38*AO20+AQ39*AO19+AQ40*AO18+AQ41*AO17+AQ42*AO16+AQ43*AO15</f>
        <v>1.1344299489506502E-3</v>
      </c>
      <c r="AV43">
        <f>IF(28&gt;=1,AU42,0)</f>
        <v>1.5628614153855195E-2</v>
      </c>
      <c r="AW43">
        <f>AV15*AR43+AV16*AR42+AV17*AR41+AV18*AR40+AV19*AR39+AV20*AR38+AV21*AR37+AV22*AR36+AV23*AR35+AV24*AR34+AV25*AR33+AV26*AR32+AV27*AR31+AV28*AR30+AV29*AR29+AV30*AR28+AV31*AR27+AV32*AR26+AV33*AR25+AV34*AR24+AV35*AR23+AV36*AR22+AV37*AR21+AV38*AR20+AV39*AR19+AV40*AR18+AV41*AR17+AV42*AR16+AV43*AR15</f>
        <v>0.1752701365828345</v>
      </c>
      <c r="AX43">
        <f>AW15*AS43+AW16*AS42+AW17*AS41+AW18*AS40+AW19*AS39+AW20*AS38+AW21*AS37+AW22*AS36+AW23*AS35+AW24*AS34+AW25*AS33+AW26*AS32+AW27*AS31+AW28*AS30+AW29*AS29+AW30*AS28+AW31*AS27+AW32*AS26+AW33*AS25+AW34*AS24+AW35*AS23+AW36*AS22+AW37*AS21+AW38*AS20+AW39*AS19+AW40*AS18+AW41*AS17+AW42*AS16+AW43*AS15</f>
        <v>0.26492804010514392</v>
      </c>
      <c r="AY43">
        <f t="shared" si="6"/>
        <v>0.26492804010514392</v>
      </c>
    </row>
    <row r="44" spans="1:51" x14ac:dyDescent="0.2">
      <c r="A44" s="2" t="s">
        <v>161</v>
      </c>
      <c r="B44" s="3" t="s">
        <v>162</v>
      </c>
      <c r="C44" s="4">
        <v>0.31900000000000001</v>
      </c>
      <c r="D44" s="4">
        <v>0.33</v>
      </c>
      <c r="E44" s="4">
        <v>0.34599999999999997</v>
      </c>
      <c r="F44" s="4">
        <v>0.35499999999999998</v>
      </c>
      <c r="G44" s="4">
        <v>0.36299999999999999</v>
      </c>
      <c r="H44" s="4">
        <v>0.36899999999999999</v>
      </c>
      <c r="I44" s="4">
        <v>0.371</v>
      </c>
      <c r="J44" s="4">
        <v>0.39200000000000002</v>
      </c>
      <c r="K44" s="4">
        <v>0.40300000000000002</v>
      </c>
      <c r="L44" s="4">
        <v>0.41099999999999998</v>
      </c>
      <c r="M44" s="4">
        <v>0.41599999999999998</v>
      </c>
      <c r="N44" s="4">
        <v>0.42399999999999999</v>
      </c>
      <c r="O44" s="4">
        <v>0.42699999999999999</v>
      </c>
      <c r="P44" s="4">
        <v>0.44500000000000001</v>
      </c>
      <c r="Q44" s="4">
        <v>0.44700000000000001</v>
      </c>
      <c r="R44" s="4">
        <v>0.438</v>
      </c>
      <c r="S44" s="4">
        <v>0.44600000000000001</v>
      </c>
      <c r="T44" s="4">
        <v>0.44800000000000001</v>
      </c>
      <c r="U44" s="4">
        <v>0.45400000000000001</v>
      </c>
      <c r="V44" s="4">
        <v>0.45700000000000002</v>
      </c>
      <c r="W44" s="4">
        <v>0.45300000000000001</v>
      </c>
      <c r="X44" s="4">
        <v>0.45600000000000002</v>
      </c>
      <c r="Y44" s="5">
        <v>0.45800000000000002</v>
      </c>
      <c r="Z44" t="s">
        <v>380</v>
      </c>
      <c r="AA44" t="s">
        <v>505</v>
      </c>
      <c r="AB44">
        <v>161</v>
      </c>
      <c r="AD44">
        <f ca="1"/>
        <v>143</v>
      </c>
      <c r="AM44">
        <v>29</v>
      </c>
      <c r="AN44">
        <f>0</f>
        <v>0</v>
      </c>
      <c r="AO44">
        <f>IF(29&lt;=MIN(AP5,AO5),_xlfn.HYPGEOM.DIST(29,AP5,AO5,AN5,0),0)</f>
        <v>0</v>
      </c>
      <c r="AP44">
        <f>0</f>
        <v>0</v>
      </c>
      <c r="AQ44">
        <f>IF(29&lt;=MIN(AP7,AO7),_xlfn.HYPGEOM.DIST(29,AP7,AO7,AN7,0),0)</f>
        <v>0</v>
      </c>
      <c r="AR44">
        <f>IF(29&lt;=MIN(AP8,AO8),_xlfn.HYPGEOM.DIST(29,AP8,AO8,AN8,0),0)</f>
        <v>0</v>
      </c>
      <c r="AS44">
        <f>IF(29&lt;=MIN(AP9,AO9),_xlfn.HYPGEOM.DIST(29,AP9,AO9,AN9,0),0)</f>
        <v>0</v>
      </c>
      <c r="AT44">
        <f>0</f>
        <v>0</v>
      </c>
      <c r="AU44">
        <f>AQ15*AO44+AQ16*AO43+AQ17*AO42+AQ18*AO41+AQ19*AO40+AQ20*AO39+AQ21*AO38+AQ22*AO37+AQ23*AO36+AQ24*AO35+AQ25*AO34+AQ26*AO33+AQ27*AO32+AQ28*AO31+AQ29*AO30+AQ30*AO29+AQ31*AO28+AQ32*AO27+AQ33*AO26+AQ34*AO25+AQ35*AO24+AQ36*AO23+AQ37*AO22+AQ38*AO21+AQ39*AO20+AQ40*AO19+AQ41*AO18+AQ42*AO17+AQ43*AO16+AQ44*AO15</f>
        <v>0</v>
      </c>
      <c r="AV44">
        <f>IF(29&gt;=1,AU43,0)</f>
        <v>1.1344299489506502E-3</v>
      </c>
      <c r="AW44">
        <f>AV15*AR44+AV16*AR43+AV17*AR42+AV18*AR41+AV19*AR40+AV20*AR39+AV21*AR38+AV22*AR37+AV23*AR36+AV24*AR35+AV25*AR34+AV26*AR33+AV27*AR32+AV28*AR31+AV29*AR30+AV30*AR29+AV31*AR28+AV32*AR27+AV33*AR26+AV34*AR25+AV35*AR24+AV36*AR23+AV37*AR22+AV38*AR21+AV39*AR20+AV40*AR19+AV41*AR18+AV42*AR17+AV43*AR16+AV44*AR15</f>
        <v>6.341728606050781E-2</v>
      </c>
      <c r="AX44">
        <f>AW15*AS44+AW16*AS43+AW17*AS42+AW18*AS41+AW19*AS40+AW20*AS39+AW21*AS38+AW22*AS37+AW23*AS36+AW24*AS35+AW25*AS34+AW26*AS33+AW27*AS32+AW28*AS31+AW29*AS30+AW30*AS29+AW31*AS28+AW32*AS27+AW33*AS26+AW34*AS25+AW35*AS24+AW36*AS23+AW37*AS22+AW38*AS21+AW39*AS20+AW40*AS19+AW41*AS18+AW42*AS17+AW43*AS16+AW44*AS15</f>
        <v>0.16408485153060184</v>
      </c>
      <c r="AY44">
        <f t="shared" si="6"/>
        <v>0.16408485153060184</v>
      </c>
    </row>
    <row r="45" spans="1:51" x14ac:dyDescent="0.2">
      <c r="A45" s="6" t="s">
        <v>147</v>
      </c>
      <c r="B45" s="7" t="s">
        <v>148</v>
      </c>
      <c r="C45" s="8">
        <v>0.315</v>
      </c>
      <c r="D45" s="8">
        <v>0.32700000000000001</v>
      </c>
      <c r="E45" s="8">
        <v>0.33600000000000002</v>
      </c>
      <c r="F45" s="8">
        <v>0.34799999999999998</v>
      </c>
      <c r="G45" s="8">
        <v>0.35499999999999998</v>
      </c>
      <c r="H45" s="8">
        <v>0.36399999999999999</v>
      </c>
      <c r="I45" s="8">
        <v>0.373</v>
      </c>
      <c r="J45" s="8">
        <v>0.38100000000000001</v>
      </c>
      <c r="K45" s="8">
        <v>0.39</v>
      </c>
      <c r="L45" s="8">
        <v>0.39800000000000002</v>
      </c>
      <c r="M45" s="8">
        <v>0.40600000000000003</v>
      </c>
      <c r="N45" s="8">
        <v>0.41099999999999998</v>
      </c>
      <c r="O45" s="8">
        <v>0.40699999999999997</v>
      </c>
      <c r="P45" s="8">
        <v>0.40400000000000003</v>
      </c>
      <c r="Q45" s="8">
        <v>0.41</v>
      </c>
      <c r="R45" s="8">
        <v>0.40899999999999997</v>
      </c>
      <c r="S45" s="8">
        <v>0.40699999999999997</v>
      </c>
      <c r="T45" s="8">
        <v>0.41299999999999998</v>
      </c>
      <c r="U45" s="8">
        <v>0.41699999999999998</v>
      </c>
      <c r="V45" s="8">
        <v>0.42099999999999999</v>
      </c>
      <c r="W45" s="8">
        <v>0.40699999999999997</v>
      </c>
      <c r="X45" s="8">
        <v>0.40799999999999997</v>
      </c>
      <c r="Y45" s="9">
        <v>0.41</v>
      </c>
      <c r="Z45" t="s">
        <v>380</v>
      </c>
      <c r="AA45" t="s">
        <v>505</v>
      </c>
      <c r="AB45">
        <v>163</v>
      </c>
      <c r="AD45">
        <f ca="1"/>
        <v>52</v>
      </c>
      <c r="AM45">
        <v>30</v>
      </c>
      <c r="AN45">
        <f>0</f>
        <v>0</v>
      </c>
      <c r="AO45">
        <f>IF(30&lt;=MIN(AP5,AO5),_xlfn.HYPGEOM.DIST(30,AP5,AO5,AN5,0),0)</f>
        <v>0</v>
      </c>
      <c r="AP45">
        <f>0</f>
        <v>0</v>
      </c>
      <c r="AQ45">
        <f>IF(30&lt;=MIN(AP7,AO7),_xlfn.HYPGEOM.DIST(30,AP7,AO7,AN7,0),0)</f>
        <v>0</v>
      </c>
      <c r="AR45">
        <f>IF(30&lt;=MIN(AP8,AO8),_xlfn.HYPGEOM.DIST(30,AP8,AO8,AN8,0),0)</f>
        <v>0</v>
      </c>
      <c r="AS45">
        <f>IF(30&lt;=MIN(AP9,AO9),_xlfn.HYPGEOM.DIST(30,AP9,AO9,AN9,0),0)</f>
        <v>0</v>
      </c>
      <c r="AT45">
        <f>0</f>
        <v>0</v>
      </c>
      <c r="AU45">
        <f>AQ15*AO45+AQ16*AO44+AQ17*AO43+AQ18*AO42+AQ19*AO41+AQ20*AO40+AQ21*AO39+AQ22*AO38+AQ23*AO37+AQ24*AO36+AQ25*AO35+AQ26*AO34+AQ27*AO33+AQ28*AO32+AQ29*AO31+AQ30*AO30+AQ31*AO29+AQ32*AO28+AQ33*AO27+AQ34*AO26+AQ35*AO25+AQ36*AO24+AQ37*AO23+AQ38*AO22+AQ39*AO21+AQ40*AO20+AQ41*AO19+AQ42*AO18+AQ43*AO17+AQ44*AO16+AQ45*AO15</f>
        <v>0</v>
      </c>
      <c r="AV45">
        <f>IF(30&gt;=1,AU44,0)</f>
        <v>0</v>
      </c>
      <c r="AW45">
        <f>AV15*AR45+AV16*AR44+AV17*AR43+AV18*AR42+AV19*AR41+AV20*AR40+AV21*AR39+AV22*AR38+AV23*AR37+AV24*AR36+AV25*AR35+AV26*AR34+AV27*AR33+AV28*AR32+AV29*AR31+AV30*AR30+AV31*AR29+AV32*AR28+AV33*AR27+AV34*AR26+AV35*AR25+AV36*AR24+AV37*AR23+AV38*AR22+AV39*AR21+AV40*AR20+AV41*AR19+AV42*AR18+AV43*AR17+AV44*AR16+AV45*AR15</f>
        <v>1.1678272298967517E-2</v>
      </c>
      <c r="AX45">
        <f>AW15*AS45+AW16*AS44+AW17*AS43+AW18*AS42+AW19*AS41+AW20*AS40+AW21*AS39+AW22*AS38+AW23*AS37+AW24*AS36+AW25*AS35+AW26*AS34+AW27*AS33+AW28*AS32+AW29*AS31+AW30*AS30+AW31*AS29+AW32*AS28+AW33*AS27+AW34*AS26+AW35*AS25+AW36*AS24+AW37*AS23+AW38*AS22+AW39*AS21+AW40*AS20+AW41*AS19+AW42*AS18+AW43*AS17+AW44*AS16+AW45*AS15</f>
        <v>5.8243384684353791E-2</v>
      </c>
      <c r="AY45">
        <f t="shared" si="6"/>
        <v>5.8243384684353791E-2</v>
      </c>
    </row>
    <row r="46" spans="1:51" x14ac:dyDescent="0.2">
      <c r="A46" s="2" t="s">
        <v>121</v>
      </c>
      <c r="B46" s="3" t="s">
        <v>122</v>
      </c>
      <c r="C46" s="4">
        <v>0.29799999999999999</v>
      </c>
      <c r="D46" s="4">
        <v>0.30099999999999999</v>
      </c>
      <c r="E46" s="4">
        <v>0.314</v>
      </c>
      <c r="F46" s="4">
        <v>0.32200000000000001</v>
      </c>
      <c r="G46" s="4">
        <v>0.33300000000000002</v>
      </c>
      <c r="H46" s="4">
        <v>0.34200000000000003</v>
      </c>
      <c r="I46" s="4">
        <v>0.36499999999999999</v>
      </c>
      <c r="J46" s="4">
        <v>0.377</v>
      </c>
      <c r="K46" s="4">
        <v>0.39</v>
      </c>
      <c r="L46" s="4">
        <v>0.39700000000000002</v>
      </c>
      <c r="M46" s="4">
        <v>0.40400000000000003</v>
      </c>
      <c r="N46" s="4">
        <v>0.40799999999999997</v>
      </c>
      <c r="O46" s="4">
        <v>0.41199999999999998</v>
      </c>
      <c r="P46" s="4">
        <v>0.41599999999999998</v>
      </c>
      <c r="Q46" s="4">
        <v>0.41899999999999998</v>
      </c>
      <c r="R46" s="4">
        <v>0.42</v>
      </c>
      <c r="S46" s="4">
        <v>0.42299999999999999</v>
      </c>
      <c r="T46" s="4">
        <v>0.42199999999999999</v>
      </c>
      <c r="U46" s="4">
        <v>0.42099999999999999</v>
      </c>
      <c r="V46" s="4">
        <v>0.42299999999999999</v>
      </c>
      <c r="W46" s="4">
        <v>0.41899999999999998</v>
      </c>
      <c r="X46" s="4">
        <v>0.41899999999999998</v>
      </c>
      <c r="Y46" s="5">
        <v>0.42</v>
      </c>
      <c r="Z46" t="s">
        <v>380</v>
      </c>
      <c r="AA46" t="s">
        <v>505</v>
      </c>
      <c r="AB46">
        <v>165</v>
      </c>
      <c r="AD46">
        <f ca="1"/>
        <v>72</v>
      </c>
      <c r="AM46">
        <v>31</v>
      </c>
      <c r="AN46">
        <f>0</f>
        <v>0</v>
      </c>
      <c r="AO46">
        <f>IF(31&lt;=MIN(AP5,AO5),_xlfn.HYPGEOM.DIST(31,AP5,AO5,AN5,0),0)</f>
        <v>0</v>
      </c>
      <c r="AP46">
        <f>0</f>
        <v>0</v>
      </c>
      <c r="AQ46">
        <f>IF(31&lt;=MIN(AP7,AO7),_xlfn.HYPGEOM.DIST(31,AP7,AO7,AN7,0),0)</f>
        <v>0</v>
      </c>
      <c r="AR46">
        <f>IF(31&lt;=MIN(AP8,AO8),_xlfn.HYPGEOM.DIST(31,AP8,AO8,AN8,0),0)</f>
        <v>0</v>
      </c>
      <c r="AS46">
        <f>IF(31&lt;=MIN(AP9,AO9),_xlfn.HYPGEOM.DIST(31,AP9,AO9,AN9,0),0)</f>
        <v>0</v>
      </c>
      <c r="AT46">
        <f>0</f>
        <v>0</v>
      </c>
      <c r="AU46">
        <f>AQ15*AO46+AQ16*AO45+AQ17*AO44+AQ18*AO43+AQ19*AO42+AQ20*AO41+AQ21*AO40+AQ22*AO39+AQ23*AO38+AQ24*AO37+AQ25*AO36+AQ26*AO35+AQ27*AO34+AQ28*AO33+AQ29*AO32+AQ30*AO31+AQ31*AO30+AQ32*AO29+AQ33*AO28+AQ34*AO27+AQ35*AO26+AQ36*AO25+AQ37*AO24+AQ38*AO23+AQ39*AO22+AQ40*AO21+AQ41*AO20+AQ42*AO19+AQ43*AO18+AQ44*AO17+AQ45*AO16+AQ46*AO15</f>
        <v>0</v>
      </c>
      <c r="AV46">
        <f>IF(31&gt;=1,AU45,0)</f>
        <v>0</v>
      </c>
      <c r="AW46">
        <f>AV15*AR46+AV16*AR45+AV17*AR44+AV18*AR43+AV19*AR42+AV20*AR41+AV21*AR40+AV22*AR39+AV23*AR38+AV24*AR37+AV25*AR36+AV26*AR35+AV27*AR34+AV28*AR33+AV29*AR32+AV30*AR31+AV31*AR30+AV32*AR29+AV33*AR28+AV34*AR27+AV35*AR26+AV36*AR25+AV37*AR24+AV38*AR23+AV39*AR22+AV40*AR21+AV41*AR20+AV42*AR19+AV43*AR18+AV44*AR17+AV45*AR16+AV46*AR15</f>
        <v>8.2651324852118743E-4</v>
      </c>
      <c r="AX46">
        <f>AW15*AS46+AW16*AS45+AW17*AS44+AW18*AS43+AW19*AS42+AW20*AS41+AW21*AS40+AW22*AS39+AW23*AS38+AW24*AS37+AW25*AS36+AW26*AS35+AW27*AS34+AW28*AS33+AW29*AS32+AW30*AS31+AW31*AS30+AW32*AS29+AW33*AS28+AW34*AS27+AW35*AS26+AW36*AS25+AW37*AS24+AW38*AS23+AW39*AS22+AW40*AS21+AW41*AS20+AW42*AS19+AW43*AS18+AW44*AS17+AW45*AS16+AW46*AS15</f>
        <v>1.0593096393922885E-2</v>
      </c>
      <c r="AY46">
        <f t="shared" si="6"/>
        <v>1.0593096393922885E-2</v>
      </c>
    </row>
    <row r="47" spans="1:51" x14ac:dyDescent="0.2">
      <c r="A47" s="6" t="s">
        <v>347</v>
      </c>
      <c r="B47" s="7" t="s">
        <v>348</v>
      </c>
      <c r="C47" s="8">
        <v>0.755</v>
      </c>
      <c r="D47" s="8">
        <v>0.749</v>
      </c>
      <c r="E47" s="8">
        <v>0.749</v>
      </c>
      <c r="F47" s="8">
        <v>0.749</v>
      </c>
      <c r="G47" s="8">
        <v>0.748</v>
      </c>
      <c r="H47" s="8">
        <v>0.76200000000000001</v>
      </c>
      <c r="I47" s="8">
        <v>0.753</v>
      </c>
      <c r="J47" s="8">
        <v>0.77100000000000002</v>
      </c>
      <c r="K47" s="8">
        <v>0.77</v>
      </c>
      <c r="L47" s="8">
        <v>0.77100000000000002</v>
      </c>
      <c r="M47" s="8">
        <v>0.77400000000000002</v>
      </c>
      <c r="N47" s="8">
        <v>0.76800000000000002</v>
      </c>
      <c r="O47" s="8">
        <v>0.78400000000000003</v>
      </c>
      <c r="P47" s="8">
        <v>0.78600000000000003</v>
      </c>
      <c r="Q47" s="8">
        <v>0.79600000000000004</v>
      </c>
      <c r="R47" s="8">
        <v>0.79700000000000004</v>
      </c>
      <c r="S47" s="8">
        <v>0.79800000000000004</v>
      </c>
      <c r="T47" s="8">
        <v>0.79800000000000004</v>
      </c>
      <c r="U47" s="8">
        <v>0.80400000000000005</v>
      </c>
      <c r="V47" s="8">
        <v>0.80800000000000005</v>
      </c>
      <c r="W47" s="8">
        <v>0.79900000000000004</v>
      </c>
      <c r="X47" s="8">
        <v>0.79500000000000004</v>
      </c>
      <c r="Y47" s="9">
        <v>0.80200000000000005</v>
      </c>
      <c r="Z47" t="s">
        <v>380</v>
      </c>
      <c r="AA47" t="s">
        <v>505</v>
      </c>
      <c r="AB47">
        <v>171</v>
      </c>
      <c r="AD47">
        <f ca="1"/>
        <v>36</v>
      </c>
      <c r="AM47">
        <v>32</v>
      </c>
      <c r="AN47">
        <f>0</f>
        <v>0</v>
      </c>
      <c r="AO47">
        <f>IF(32&lt;=MIN(AP5,AO5),_xlfn.HYPGEOM.DIST(32,AP5,AO5,AN5,0),0)</f>
        <v>0</v>
      </c>
      <c r="AP47">
        <f>0</f>
        <v>0</v>
      </c>
      <c r="AQ47">
        <f>IF(32&lt;=MIN(AP7,AO7),_xlfn.HYPGEOM.DIST(32,AP7,AO7,AN7,0),0)</f>
        <v>0</v>
      </c>
      <c r="AR47">
        <f>IF(32&lt;=MIN(AP8,AO8),_xlfn.HYPGEOM.DIST(32,AP8,AO8,AN8,0),0)</f>
        <v>0</v>
      </c>
      <c r="AS47">
        <f>IF(32&lt;=MIN(AP9,AO9),_xlfn.HYPGEOM.DIST(32,AP9,AO9,AN9,0),0)</f>
        <v>0</v>
      </c>
      <c r="AT47">
        <f>0</f>
        <v>0</v>
      </c>
      <c r="AU47">
        <f>AQ15*AO47+AQ16*AO46+AQ17*AO45+AQ18*AO44+AQ19*AO43+AQ20*AO42+AQ21*AO41+AQ22*AO40+AQ23*AO39+AQ24*AO38+AQ25*AO37+AQ26*AO36+AQ27*AO35+AQ28*AO34+AQ29*AO33+AQ30*AO32+AQ31*AO31+AQ32*AO30+AQ33*AO29+AQ34*AO28+AQ35*AO27+AQ36*AO26+AQ37*AO25+AQ38*AO24+AQ39*AO23+AQ40*AO22+AQ41*AO21+AQ42*AO20+AQ43*AO19+AQ44*AO18+AQ45*AO17+AQ46*AO16+AQ47*AO15</f>
        <v>0</v>
      </c>
      <c r="AV47">
        <f>IF(32&gt;=1,AU46,0)</f>
        <v>0</v>
      </c>
      <c r="AW47">
        <f>AV15*AR47+AV16*AR46+AV17*AR45+AV18*AR44+AV19*AR43+AV20*AR42+AV21*AR41+AV22*AR40+AV23*AR39+AV24*AR38+AV25*AR37+AV26*AR36+AV27*AR35+AV28*AR34+AV29*AR33+AV30*AR32+AV31*AR31+AV32*AR30+AV33*AR29+AV34*AR28+AV35*AR27+AV36*AR26+AV37*AR25+AV38*AR24+AV39*AR23+AV40*AR22+AV41*AR21+AV42*AR20+AV43*AR19+AV44*AR18+AV45*AR17+AV46*AR16+AV47*AR15</f>
        <v>0</v>
      </c>
      <c r="AX47">
        <f>AW15*AS47+AW16*AS46+AW17*AS45+AW18*AS44+AW19*AS43+AW20*AS42+AW21*AS41+AW22*AS40+AW23*AS39+AW24*AS38+AW25*AS37+AW26*AS36+AW27*AS35+AW28*AS34+AW29*AS33+AW30*AS32+AW31*AS31+AW32*AS30+AW33*AS29+AW34*AS28+AW35*AS27+AW36*AS26+AW37*AS25+AW38*AS24+AW39*AS23+AW40*AS22+AW41*AS21+AW42*AS20+AW43*AS19+AW44*AS18+AW45*AS17+AW46*AS16+AW47*AS15</f>
        <v>7.4386192366906881E-4</v>
      </c>
      <c r="AY47">
        <f t="shared" si="6"/>
        <v>7.4386192366906881E-4</v>
      </c>
    </row>
    <row r="48" spans="1:51" x14ac:dyDescent="0.2">
      <c r="A48" s="6" t="s">
        <v>243</v>
      </c>
      <c r="B48" s="7" t="s">
        <v>244</v>
      </c>
      <c r="C48" s="8">
        <v>0.42599999999999999</v>
      </c>
      <c r="D48" s="8">
        <v>0.41599999999999998</v>
      </c>
      <c r="E48" s="8">
        <v>0.42699999999999999</v>
      </c>
      <c r="F48" s="8">
        <v>0.41399999999999998</v>
      </c>
      <c r="G48" s="8">
        <v>0.41899999999999998</v>
      </c>
      <c r="H48" s="8">
        <v>0.42</v>
      </c>
      <c r="I48" s="8">
        <v>0.42199999999999999</v>
      </c>
      <c r="J48" s="8">
        <v>0.42299999999999999</v>
      </c>
      <c r="K48" s="8">
        <v>0.42</v>
      </c>
      <c r="L48" s="8">
        <v>0.45400000000000001</v>
      </c>
      <c r="M48" s="8">
        <v>0.48099999999999998</v>
      </c>
      <c r="N48" s="8">
        <v>0.502</v>
      </c>
      <c r="O48" s="8">
        <v>0.52200000000000002</v>
      </c>
      <c r="P48" s="8">
        <v>0.53200000000000003</v>
      </c>
      <c r="Q48" s="8">
        <v>0.53900000000000003</v>
      </c>
      <c r="R48" s="8">
        <v>0.54400000000000004</v>
      </c>
      <c r="S48" s="8">
        <v>0.54700000000000004</v>
      </c>
      <c r="T48" s="8">
        <v>0.55200000000000005</v>
      </c>
      <c r="U48" s="8">
        <v>0.56399999999999995</v>
      </c>
      <c r="V48" s="8">
        <v>0.56000000000000005</v>
      </c>
      <c r="W48" s="8">
        <v>0.55400000000000005</v>
      </c>
      <c r="X48" s="8">
        <v>0.54900000000000004</v>
      </c>
      <c r="Y48" s="9">
        <v>0.55000000000000004</v>
      </c>
      <c r="Z48" t="s">
        <v>380</v>
      </c>
      <c r="AA48" t="s">
        <v>505</v>
      </c>
      <c r="AB48">
        <v>173</v>
      </c>
      <c r="AD48">
        <f ca="1"/>
        <v>116</v>
      </c>
    </row>
    <row r="49" spans="1:40" x14ac:dyDescent="0.2">
      <c r="A49" s="2" t="s">
        <v>149</v>
      </c>
      <c r="B49" s="3" t="s">
        <v>150</v>
      </c>
      <c r="C49" s="4">
        <v>0.46100000000000002</v>
      </c>
      <c r="D49" s="4">
        <v>0.46200000000000002</v>
      </c>
      <c r="E49" s="4">
        <v>0.46500000000000002</v>
      </c>
      <c r="F49" s="4">
        <v>0.47</v>
      </c>
      <c r="G49" s="4">
        <v>0.48</v>
      </c>
      <c r="H49" s="4">
        <v>0.48499999999999999</v>
      </c>
      <c r="I49" s="4">
        <v>0.495</v>
      </c>
      <c r="J49" s="4">
        <v>0.495</v>
      </c>
      <c r="K49" s="4">
        <v>0.495</v>
      </c>
      <c r="L49" s="4">
        <v>0.505</v>
      </c>
      <c r="M49" s="4">
        <v>0.50800000000000001</v>
      </c>
      <c r="N49" s="4">
        <v>0.51300000000000001</v>
      </c>
      <c r="O49" s="4">
        <v>0.52200000000000002</v>
      </c>
      <c r="P49" s="4">
        <v>0.53</v>
      </c>
      <c r="Q49" s="4">
        <v>0.53200000000000003</v>
      </c>
      <c r="R49" s="4">
        <v>0.53600000000000003</v>
      </c>
      <c r="S49" s="4">
        <v>0.53200000000000003</v>
      </c>
      <c r="T49" s="4">
        <v>0.53600000000000003</v>
      </c>
      <c r="U49" s="4">
        <v>0.54600000000000004</v>
      </c>
      <c r="V49" s="4">
        <v>0.55200000000000005</v>
      </c>
      <c r="W49" s="4">
        <v>0.53900000000000003</v>
      </c>
      <c r="X49" s="4">
        <v>0.53800000000000003</v>
      </c>
      <c r="Y49" s="5">
        <v>0.54</v>
      </c>
      <c r="Z49" t="s">
        <v>380</v>
      </c>
      <c r="AA49" t="s">
        <v>505</v>
      </c>
      <c r="AB49">
        <v>174</v>
      </c>
      <c r="AD49">
        <f ca="1"/>
        <v>69</v>
      </c>
    </row>
    <row r="50" spans="1:40" x14ac:dyDescent="0.2">
      <c r="A50" s="6" t="s">
        <v>31</v>
      </c>
      <c r="B50" s="7" t="s">
        <v>32</v>
      </c>
      <c r="C50" s="8">
        <v>0.63500000000000001</v>
      </c>
      <c r="D50" s="8">
        <v>0.64400000000000002</v>
      </c>
      <c r="E50" s="8">
        <v>0.65400000000000003</v>
      </c>
      <c r="F50" s="8">
        <v>0.66300000000000003</v>
      </c>
      <c r="G50" s="8">
        <v>0.67</v>
      </c>
      <c r="H50" s="8">
        <v>0.68200000000000005</v>
      </c>
      <c r="I50" s="8">
        <v>0.70099999999999996</v>
      </c>
      <c r="J50" s="8">
        <v>0.71399999999999997</v>
      </c>
      <c r="K50" s="8">
        <v>0.72299999999999998</v>
      </c>
      <c r="L50" s="8">
        <v>0.72899999999999998</v>
      </c>
      <c r="M50" s="8">
        <v>0.73299999999999998</v>
      </c>
      <c r="N50" s="8">
        <v>0.73499999999999999</v>
      </c>
      <c r="O50" s="8">
        <v>0.73899999999999999</v>
      </c>
      <c r="P50" s="8">
        <v>0.745</v>
      </c>
      <c r="Q50" s="8">
        <v>0.749</v>
      </c>
      <c r="R50" s="8">
        <v>0.751</v>
      </c>
      <c r="S50" s="8">
        <v>0.752</v>
      </c>
      <c r="T50" s="8">
        <v>0.754</v>
      </c>
      <c r="U50" s="8">
        <v>0.75700000000000001</v>
      </c>
      <c r="V50" s="8">
        <v>0.76200000000000001</v>
      </c>
      <c r="W50" s="8">
        <v>0.72199999999999998</v>
      </c>
      <c r="X50" s="8">
        <v>0.73799999999999999</v>
      </c>
      <c r="Y50" s="9">
        <v>0.76</v>
      </c>
      <c r="Z50" t="s">
        <v>376</v>
      </c>
      <c r="AA50" t="s">
        <v>505</v>
      </c>
      <c r="AB50">
        <v>1</v>
      </c>
      <c r="AD50">
        <f ca="1"/>
        <v>105</v>
      </c>
      <c r="AM50" t="s">
        <v>510</v>
      </c>
      <c r="AN50" s="18">
        <f>AY45+AY46+AY47</f>
        <v>6.9580343001945752E-2</v>
      </c>
    </row>
    <row r="51" spans="1:40" x14ac:dyDescent="0.2">
      <c r="A51" s="6" t="s">
        <v>155</v>
      </c>
      <c r="B51" s="7" t="s">
        <v>156</v>
      </c>
      <c r="C51" s="8">
        <v>0.434</v>
      </c>
      <c r="D51" s="8">
        <v>0.441</v>
      </c>
      <c r="E51" s="8">
        <v>0.44700000000000001</v>
      </c>
      <c r="F51" s="8">
        <v>0.45500000000000002</v>
      </c>
      <c r="G51" s="8">
        <v>0.46800000000000003</v>
      </c>
      <c r="H51" s="8">
        <v>0.47699999999999998</v>
      </c>
      <c r="I51" s="8">
        <v>0.48499999999999999</v>
      </c>
      <c r="J51" s="8">
        <v>0.49</v>
      </c>
      <c r="K51" s="8">
        <v>0.48899999999999999</v>
      </c>
      <c r="L51" s="8">
        <v>0.49299999999999999</v>
      </c>
      <c r="M51" s="8">
        <v>0.496</v>
      </c>
      <c r="N51" s="8">
        <v>0.5</v>
      </c>
      <c r="O51" s="8">
        <v>0.504</v>
      </c>
      <c r="P51" s="8">
        <v>0.51</v>
      </c>
      <c r="Q51" s="8">
        <v>0.51900000000000002</v>
      </c>
      <c r="R51" s="8">
        <v>0.52500000000000002</v>
      </c>
      <c r="S51" s="8">
        <v>0.53300000000000003</v>
      </c>
      <c r="T51" s="8">
        <v>0.53400000000000003</v>
      </c>
      <c r="U51" s="8">
        <v>0.53500000000000003</v>
      </c>
      <c r="V51" s="8">
        <v>0.53700000000000003</v>
      </c>
      <c r="W51" s="8">
        <v>0.53600000000000003</v>
      </c>
      <c r="X51" s="8">
        <v>0.53700000000000003</v>
      </c>
      <c r="Y51" s="9">
        <v>0.54</v>
      </c>
      <c r="Z51" t="s">
        <v>376</v>
      </c>
      <c r="AA51" t="s">
        <v>505</v>
      </c>
      <c r="AB51">
        <v>9</v>
      </c>
      <c r="AD51">
        <f ca="1"/>
        <v>41</v>
      </c>
      <c r="AM51" t="s">
        <v>579</v>
      </c>
      <c r="AN51">
        <f>AR11</f>
        <v>27.468831168831166</v>
      </c>
    </row>
    <row r="52" spans="1:40" x14ac:dyDescent="0.2">
      <c r="A52" s="6" t="s">
        <v>111</v>
      </c>
      <c r="B52" s="7" t="s">
        <v>112</v>
      </c>
      <c r="C52" s="8">
        <v>0.60299999999999998</v>
      </c>
      <c r="D52" s="8">
        <v>0.61</v>
      </c>
      <c r="E52" s="8">
        <v>0.61699999999999999</v>
      </c>
      <c r="F52" s="8">
        <v>0.624</v>
      </c>
      <c r="G52" s="8">
        <v>0.63100000000000001</v>
      </c>
      <c r="H52" s="8">
        <v>0.63600000000000001</v>
      </c>
      <c r="I52" s="8">
        <v>0.64200000000000002</v>
      </c>
      <c r="J52" s="8">
        <v>0.65500000000000003</v>
      </c>
      <c r="K52" s="8">
        <v>0.66</v>
      </c>
      <c r="L52" s="8">
        <v>0.66600000000000004</v>
      </c>
      <c r="M52" s="8">
        <v>0.67500000000000004</v>
      </c>
      <c r="N52" s="8">
        <v>0.68200000000000005</v>
      </c>
      <c r="O52" s="8">
        <v>0.68799999999999994</v>
      </c>
      <c r="P52" s="8">
        <v>0.69299999999999995</v>
      </c>
      <c r="Q52" s="8">
        <v>0.69799999999999995</v>
      </c>
      <c r="R52" s="8">
        <v>0.70099999999999996</v>
      </c>
      <c r="S52" s="8">
        <v>0.70899999999999996</v>
      </c>
      <c r="T52" s="8">
        <v>0.71399999999999997</v>
      </c>
      <c r="U52" s="8">
        <v>0.71899999999999997</v>
      </c>
      <c r="V52" s="8">
        <v>0.72499999999999998</v>
      </c>
      <c r="W52" s="8">
        <v>0.71599999999999997</v>
      </c>
      <c r="X52" s="8">
        <v>0.72099999999999997</v>
      </c>
      <c r="Y52" s="9">
        <v>0.72699999999999998</v>
      </c>
      <c r="Z52" t="s">
        <v>376</v>
      </c>
      <c r="AA52" t="s">
        <v>505</v>
      </c>
      <c r="AB52">
        <v>10</v>
      </c>
      <c r="AD52">
        <f ca="1"/>
        <v>136</v>
      </c>
      <c r="AM52" t="s">
        <v>588</v>
      </c>
      <c r="AN52">
        <f>IF(AN50&gt;0,1/AN50,"∞")</f>
        <v>14.371875113809599</v>
      </c>
    </row>
    <row r="53" spans="1:40" x14ac:dyDescent="0.2">
      <c r="A53" s="6" t="s">
        <v>287</v>
      </c>
      <c r="B53" s="7" t="s">
        <v>288</v>
      </c>
      <c r="C53" s="8">
        <v>0.83099999999999996</v>
      </c>
      <c r="D53" s="8">
        <v>0.83899999999999997</v>
      </c>
      <c r="E53" s="8">
        <v>0.84599999999999997</v>
      </c>
      <c r="F53" s="8">
        <v>0.85399999999999998</v>
      </c>
      <c r="G53" s="8">
        <v>0.86299999999999999</v>
      </c>
      <c r="H53" s="8">
        <v>0.871</v>
      </c>
      <c r="I53" s="8">
        <v>0.878</v>
      </c>
      <c r="J53" s="8">
        <v>0.89200000000000002</v>
      </c>
      <c r="K53" s="8">
        <v>0.90800000000000003</v>
      </c>
      <c r="L53" s="8">
        <v>0.91</v>
      </c>
      <c r="M53" s="8">
        <v>0.91400000000000003</v>
      </c>
      <c r="N53" s="8">
        <v>0.92100000000000004</v>
      </c>
      <c r="O53" s="8">
        <v>0.92500000000000004</v>
      </c>
      <c r="P53" s="8">
        <v>0.92800000000000005</v>
      </c>
      <c r="Q53" s="8">
        <v>0.93200000000000005</v>
      </c>
      <c r="R53" s="8">
        <v>0.93600000000000005</v>
      </c>
      <c r="S53" s="8">
        <v>0.93899999999999995</v>
      </c>
      <c r="T53" s="8">
        <v>0.94599999999999995</v>
      </c>
      <c r="U53" s="8">
        <v>0.94899999999999995</v>
      </c>
      <c r="V53" s="8">
        <v>0.95299999999999996</v>
      </c>
      <c r="W53" s="8">
        <v>0.95499999999999996</v>
      </c>
      <c r="X53" s="8">
        <v>0.95899999999999996</v>
      </c>
      <c r="Y53" s="9">
        <v>0.95599999999999996</v>
      </c>
      <c r="Z53" t="s">
        <v>376</v>
      </c>
      <c r="AA53" t="s">
        <v>505</v>
      </c>
      <c r="AB53">
        <v>12</v>
      </c>
      <c r="AD53">
        <f ca="1"/>
        <v>137</v>
      </c>
    </row>
    <row r="54" spans="1:40" x14ac:dyDescent="0.2">
      <c r="A54" s="2" t="s">
        <v>317</v>
      </c>
      <c r="B54" s="3" t="s">
        <v>318</v>
      </c>
      <c r="C54" s="4">
        <v>0.72599999999999998</v>
      </c>
      <c r="D54" s="4">
        <v>0.72599999999999998</v>
      </c>
      <c r="E54" s="4">
        <v>0.72499999999999998</v>
      </c>
      <c r="F54" s="4">
        <v>0.73</v>
      </c>
      <c r="G54" s="4">
        <v>0.73099999999999998</v>
      </c>
      <c r="H54" s="4">
        <v>0.72799999999999998</v>
      </c>
      <c r="I54" s="4">
        <v>0.73199999999999998</v>
      </c>
      <c r="J54" s="4">
        <v>0.74399999999999999</v>
      </c>
      <c r="K54" s="4">
        <v>0.754</v>
      </c>
      <c r="L54" s="4">
        <v>0.76100000000000001</v>
      </c>
      <c r="M54" s="4">
        <v>0.76800000000000002</v>
      </c>
      <c r="N54" s="4">
        <v>0.77100000000000002</v>
      </c>
      <c r="O54" s="4">
        <v>0.77700000000000002</v>
      </c>
      <c r="P54" s="4">
        <v>0.78200000000000003</v>
      </c>
      <c r="Q54" s="4">
        <v>0.78700000000000003</v>
      </c>
      <c r="R54" s="4">
        <v>0.79200000000000004</v>
      </c>
      <c r="S54" s="4">
        <v>0.79800000000000004</v>
      </c>
      <c r="T54" s="4">
        <v>0.8</v>
      </c>
      <c r="U54" s="4">
        <v>0.80200000000000005</v>
      </c>
      <c r="V54" s="4">
        <v>0.80500000000000005</v>
      </c>
      <c r="W54" s="4">
        <v>0.80200000000000005</v>
      </c>
      <c r="X54" s="4">
        <v>0.79800000000000004</v>
      </c>
      <c r="Y54" s="5">
        <v>0.80700000000000005</v>
      </c>
      <c r="Z54" t="s">
        <v>376</v>
      </c>
      <c r="AA54" t="s">
        <v>505</v>
      </c>
      <c r="AB54">
        <v>13</v>
      </c>
      <c r="AD54">
        <f ca="1"/>
        <v>167</v>
      </c>
    </row>
    <row r="55" spans="1:40" x14ac:dyDescent="0.2">
      <c r="A55" s="6" t="s">
        <v>303</v>
      </c>
      <c r="B55" s="7" t="s">
        <v>304</v>
      </c>
      <c r="C55" s="8">
        <v>0.68</v>
      </c>
      <c r="D55" s="8">
        <v>0.69499999999999995</v>
      </c>
      <c r="E55" s="8">
        <v>0.70599999999999996</v>
      </c>
      <c r="F55" s="8">
        <v>0.71699999999999997</v>
      </c>
      <c r="G55" s="8">
        <v>0.72899999999999998</v>
      </c>
      <c r="H55" s="8">
        <v>0.73899999999999999</v>
      </c>
      <c r="I55" s="8">
        <v>0.75</v>
      </c>
      <c r="J55" s="8">
        <v>0.75700000000000001</v>
      </c>
      <c r="K55" s="8">
        <v>0.75700000000000001</v>
      </c>
      <c r="L55" s="8">
        <v>0.76</v>
      </c>
      <c r="M55" s="8">
        <v>0.76600000000000001</v>
      </c>
      <c r="N55" s="8">
        <v>0.77400000000000002</v>
      </c>
      <c r="O55" s="8">
        <v>0.78100000000000003</v>
      </c>
      <c r="P55" s="8">
        <v>0.78900000000000003</v>
      </c>
      <c r="Q55" s="8">
        <v>0.79400000000000004</v>
      </c>
      <c r="R55" s="8">
        <v>0.79900000000000004</v>
      </c>
      <c r="S55" s="8">
        <v>0.79700000000000004</v>
      </c>
      <c r="T55" s="8">
        <v>0.80200000000000005</v>
      </c>
      <c r="U55" s="8">
        <v>0.80400000000000005</v>
      </c>
      <c r="V55" s="8">
        <v>0.81</v>
      </c>
      <c r="W55" s="8">
        <v>0.80600000000000005</v>
      </c>
      <c r="X55" s="8">
        <v>0.80100000000000005</v>
      </c>
      <c r="Y55" s="9">
        <v>0.80200000000000005</v>
      </c>
      <c r="Z55" t="s">
        <v>376</v>
      </c>
      <c r="AA55" t="s">
        <v>505</v>
      </c>
      <c r="AB55">
        <v>18</v>
      </c>
      <c r="AD55">
        <f ca="1"/>
        <v>7</v>
      </c>
    </row>
    <row r="56" spans="1:40" x14ac:dyDescent="0.2">
      <c r="A56" s="2" t="s">
        <v>93</v>
      </c>
      <c r="B56" s="3" t="s">
        <v>94</v>
      </c>
      <c r="C56" s="4">
        <v>0.63500000000000001</v>
      </c>
      <c r="D56" s="4">
        <v>0.64</v>
      </c>
      <c r="E56" s="4">
        <v>0.64600000000000002</v>
      </c>
      <c r="F56" s="4">
        <v>0.65200000000000002</v>
      </c>
      <c r="G56" s="4">
        <v>0.65800000000000003</v>
      </c>
      <c r="H56" s="4">
        <v>0.65900000000000003</v>
      </c>
      <c r="I56" s="4">
        <v>0.65900000000000003</v>
      </c>
      <c r="J56" s="4">
        <v>0.66300000000000003</v>
      </c>
      <c r="K56" s="4">
        <v>0.66600000000000004</v>
      </c>
      <c r="L56" s="4">
        <v>0.66600000000000004</v>
      </c>
      <c r="M56" s="4">
        <v>0.67300000000000004</v>
      </c>
      <c r="N56" s="4">
        <v>0.67700000000000005</v>
      </c>
      <c r="O56" s="4">
        <v>0.68400000000000005</v>
      </c>
      <c r="P56" s="4">
        <v>0.68899999999999995</v>
      </c>
      <c r="Q56" s="4">
        <v>0.69299999999999995</v>
      </c>
      <c r="R56" s="4">
        <v>0.69599999999999995</v>
      </c>
      <c r="S56" s="4">
        <v>0.69599999999999995</v>
      </c>
      <c r="T56" s="4">
        <v>0.7</v>
      </c>
      <c r="U56" s="4">
        <v>0.70599999999999996</v>
      </c>
      <c r="V56" s="4">
        <v>0.71399999999999997</v>
      </c>
      <c r="W56" s="4">
        <v>0.70499999999999996</v>
      </c>
      <c r="X56" s="4">
        <v>0.69199999999999995</v>
      </c>
      <c r="Y56" s="5">
        <v>0.71</v>
      </c>
      <c r="Z56" t="s">
        <v>376</v>
      </c>
      <c r="AA56" t="s">
        <v>505</v>
      </c>
      <c r="AB56">
        <v>27</v>
      </c>
      <c r="AD56">
        <f ca="1"/>
        <v>79</v>
      </c>
    </row>
    <row r="57" spans="1:40" x14ac:dyDescent="0.2">
      <c r="A57" s="2" t="s">
        <v>209</v>
      </c>
      <c r="B57" s="3" t="s">
        <v>210</v>
      </c>
      <c r="C57" s="4">
        <v>0.47299999999999998</v>
      </c>
      <c r="D57" s="4">
        <v>0.48</v>
      </c>
      <c r="E57" s="4">
        <v>0.48899999999999999</v>
      </c>
      <c r="F57" s="4">
        <v>0.498</v>
      </c>
      <c r="G57" s="4">
        <v>0.50600000000000001</v>
      </c>
      <c r="H57" s="4">
        <v>0.51600000000000001</v>
      </c>
      <c r="I57" s="4">
        <v>0.51700000000000002</v>
      </c>
      <c r="J57" s="4">
        <v>0.53100000000000003</v>
      </c>
      <c r="K57" s="4">
        <v>0.53900000000000003</v>
      </c>
      <c r="L57" s="4">
        <v>0.54900000000000004</v>
      </c>
      <c r="M57" s="4">
        <v>0.55700000000000005</v>
      </c>
      <c r="N57" s="4">
        <v>0.56899999999999995</v>
      </c>
      <c r="O57" s="4">
        <v>0.57799999999999996</v>
      </c>
      <c r="P57" s="4">
        <v>0.58699999999999997</v>
      </c>
      <c r="Q57" s="4">
        <v>0.59699999999999998</v>
      </c>
      <c r="R57" s="4">
        <v>0.60399999999999998</v>
      </c>
      <c r="S57" s="4">
        <v>0.61</v>
      </c>
      <c r="T57" s="4">
        <v>0.61199999999999999</v>
      </c>
      <c r="U57" s="4">
        <v>0.61299999999999999</v>
      </c>
      <c r="V57" s="4">
        <v>0.61699999999999999</v>
      </c>
      <c r="W57" s="4">
        <v>0.61599999999999999</v>
      </c>
      <c r="X57" s="4">
        <v>0.61499999999999999</v>
      </c>
      <c r="Y57" s="5">
        <v>0.62</v>
      </c>
      <c r="Z57" t="s">
        <v>376</v>
      </c>
      <c r="AA57" t="s">
        <v>505</v>
      </c>
      <c r="AB57">
        <v>29</v>
      </c>
      <c r="AD57">
        <f ca="1"/>
        <v>104</v>
      </c>
    </row>
    <row r="58" spans="1:40" x14ac:dyDescent="0.2">
      <c r="A58" s="2" t="s">
        <v>297</v>
      </c>
      <c r="B58" s="3" t="s">
        <v>298</v>
      </c>
      <c r="C58" s="4">
        <v>0.83499999999999996</v>
      </c>
      <c r="D58" s="4">
        <v>0.83799999999999997</v>
      </c>
      <c r="E58" s="4">
        <v>0.84299999999999997</v>
      </c>
      <c r="F58" s="4">
        <v>0.84299999999999997</v>
      </c>
      <c r="G58" s="4">
        <v>0.84699999999999998</v>
      </c>
      <c r="H58" s="4">
        <v>0.85599999999999998</v>
      </c>
      <c r="I58" s="4">
        <v>0.86399999999999999</v>
      </c>
      <c r="J58" s="4">
        <v>0.876</v>
      </c>
      <c r="K58" s="4">
        <v>0.877</v>
      </c>
      <c r="L58" s="4">
        <v>0.88100000000000001</v>
      </c>
      <c r="M58" s="4">
        <v>0.88700000000000001</v>
      </c>
      <c r="N58" s="4">
        <v>0.89</v>
      </c>
      <c r="O58" s="4">
        <v>0.89100000000000001</v>
      </c>
      <c r="P58" s="4">
        <v>0.89600000000000002</v>
      </c>
      <c r="Q58" s="4">
        <v>0.89900000000000002</v>
      </c>
      <c r="R58" s="4">
        <v>0.89900000000000002</v>
      </c>
      <c r="S58" s="4">
        <v>0.90200000000000002</v>
      </c>
      <c r="T58" s="4">
        <v>0.90600000000000003</v>
      </c>
      <c r="U58" s="4">
        <v>0.90800000000000003</v>
      </c>
      <c r="V58" s="4">
        <v>0.90900000000000003</v>
      </c>
      <c r="W58" s="4">
        <v>0.90600000000000003</v>
      </c>
      <c r="X58" s="4">
        <v>0.91100000000000003</v>
      </c>
      <c r="Y58" s="5">
        <v>0.91500000000000004</v>
      </c>
      <c r="Z58" t="s">
        <v>376</v>
      </c>
      <c r="AA58" t="s">
        <v>504</v>
      </c>
      <c r="AB58">
        <v>31</v>
      </c>
      <c r="AD58">
        <f ca="1"/>
        <v>148</v>
      </c>
    </row>
    <row r="59" spans="1:40" x14ac:dyDescent="0.2">
      <c r="A59" s="6" t="s">
        <v>327</v>
      </c>
      <c r="B59" s="7" t="s">
        <v>328</v>
      </c>
      <c r="C59" s="8">
        <v>0.70199999999999996</v>
      </c>
      <c r="D59" s="8">
        <v>0.71399999999999997</v>
      </c>
      <c r="E59" s="8">
        <v>0.72199999999999998</v>
      </c>
      <c r="F59" s="8">
        <v>0.73199999999999998</v>
      </c>
      <c r="G59" s="8">
        <v>0.74</v>
      </c>
      <c r="H59" s="8">
        <v>0.748</v>
      </c>
      <c r="I59" s="8">
        <v>0.75700000000000001</v>
      </c>
      <c r="J59" s="8">
        <v>0.76400000000000001</v>
      </c>
      <c r="K59" s="8">
        <v>0.77</v>
      </c>
      <c r="L59" s="8">
        <v>0.78400000000000003</v>
      </c>
      <c r="M59" s="8">
        <v>0.79800000000000004</v>
      </c>
      <c r="N59" s="8">
        <v>0.81100000000000005</v>
      </c>
      <c r="O59" s="8">
        <v>0.81299999999999994</v>
      </c>
      <c r="P59" s="8">
        <v>0.81399999999999995</v>
      </c>
      <c r="Q59" s="8">
        <v>0.81799999999999995</v>
      </c>
      <c r="R59" s="8">
        <v>0.82399999999999995</v>
      </c>
      <c r="S59" s="8">
        <v>0.83199999999999996</v>
      </c>
      <c r="T59" s="8">
        <v>0.83299999999999996</v>
      </c>
      <c r="U59" s="8">
        <v>0.83799999999999997</v>
      </c>
      <c r="V59" s="8">
        <v>0.84099999999999997</v>
      </c>
      <c r="W59" s="8">
        <v>0.82299999999999995</v>
      </c>
      <c r="X59" s="8">
        <v>0.81</v>
      </c>
      <c r="Y59" s="9">
        <v>0.81899999999999995</v>
      </c>
      <c r="Z59" t="s">
        <v>376</v>
      </c>
      <c r="AA59" t="s">
        <v>505</v>
      </c>
      <c r="AB59">
        <v>44</v>
      </c>
      <c r="AD59">
        <f ca="1"/>
        <v>157</v>
      </c>
    </row>
    <row r="60" spans="1:40" x14ac:dyDescent="0.2">
      <c r="A60" s="6" t="s">
        <v>231</v>
      </c>
      <c r="B60" s="7" t="s">
        <v>232</v>
      </c>
      <c r="C60" s="8">
        <v>0.54800000000000004</v>
      </c>
      <c r="D60" s="8">
        <v>0.55800000000000005</v>
      </c>
      <c r="E60" s="8">
        <v>0.56899999999999995</v>
      </c>
      <c r="F60" s="8">
        <v>0.58099999999999996</v>
      </c>
      <c r="G60" s="8">
        <v>0.59099999999999997</v>
      </c>
      <c r="H60" s="8">
        <v>0.60599999999999998</v>
      </c>
      <c r="I60" s="8">
        <v>0.61499999999999999</v>
      </c>
      <c r="J60" s="8">
        <v>0.62</v>
      </c>
      <c r="K60" s="8">
        <v>0.628</v>
      </c>
      <c r="L60" s="8">
        <v>0.629</v>
      </c>
      <c r="M60" s="8">
        <v>0.63100000000000001</v>
      </c>
      <c r="N60" s="8">
        <v>0.63600000000000001</v>
      </c>
      <c r="O60" s="8">
        <v>0.64100000000000001</v>
      </c>
      <c r="P60" s="8">
        <v>0.64700000000000002</v>
      </c>
      <c r="Q60" s="8">
        <v>0.64900000000000002</v>
      </c>
      <c r="R60" s="8">
        <v>0.65100000000000002</v>
      </c>
      <c r="S60" s="8">
        <v>0.65500000000000003</v>
      </c>
      <c r="T60" s="8">
        <v>0.65900000000000003</v>
      </c>
      <c r="U60" s="8">
        <v>0.66400000000000003</v>
      </c>
      <c r="V60" s="8">
        <v>0.66800000000000004</v>
      </c>
      <c r="W60" s="8">
        <v>0.65600000000000003</v>
      </c>
      <c r="X60" s="8">
        <v>0.67700000000000005</v>
      </c>
      <c r="Y60" s="9">
        <v>0.67900000000000005</v>
      </c>
      <c r="Z60" t="s">
        <v>376</v>
      </c>
      <c r="AA60" t="s">
        <v>505</v>
      </c>
      <c r="AB60">
        <v>46</v>
      </c>
      <c r="AD60">
        <f ca="1"/>
        <v>138</v>
      </c>
    </row>
    <row r="61" spans="1:40" x14ac:dyDescent="0.2">
      <c r="A61" s="2" t="s">
        <v>301</v>
      </c>
      <c r="B61" s="3" t="s">
        <v>302</v>
      </c>
      <c r="C61" s="4">
        <v>0.88300000000000001</v>
      </c>
      <c r="D61" s="4">
        <v>0.88500000000000001</v>
      </c>
      <c r="E61" s="4">
        <v>0.88800000000000001</v>
      </c>
      <c r="F61" s="4">
        <v>0.88900000000000001</v>
      </c>
      <c r="G61" s="4">
        <v>0.89300000000000002</v>
      </c>
      <c r="H61" s="4">
        <v>0.89400000000000002</v>
      </c>
      <c r="I61" s="4">
        <v>0.89800000000000002</v>
      </c>
      <c r="J61" s="4">
        <v>0.9</v>
      </c>
      <c r="K61" s="4">
        <v>0.90100000000000002</v>
      </c>
      <c r="L61" s="4">
        <v>0.9</v>
      </c>
      <c r="M61" s="4">
        <v>0.90300000000000002</v>
      </c>
      <c r="N61" s="4">
        <v>0.90200000000000002</v>
      </c>
      <c r="O61" s="4">
        <v>0.90600000000000003</v>
      </c>
      <c r="P61" s="4">
        <v>0.90900000000000003</v>
      </c>
      <c r="Q61" s="4">
        <v>0.91</v>
      </c>
      <c r="R61" s="4">
        <v>0.91300000000000003</v>
      </c>
      <c r="S61" s="4">
        <v>0.91400000000000003</v>
      </c>
      <c r="T61" s="4">
        <v>0.91600000000000004</v>
      </c>
      <c r="U61" s="4">
        <v>0.91700000000000004</v>
      </c>
      <c r="V61" s="4">
        <v>0.91800000000000004</v>
      </c>
      <c r="W61" s="4">
        <v>0.91700000000000004</v>
      </c>
      <c r="X61" s="4">
        <v>0.92</v>
      </c>
      <c r="Y61" s="5">
        <v>0.92</v>
      </c>
      <c r="Z61" t="s">
        <v>376</v>
      </c>
      <c r="AA61" t="s">
        <v>504</v>
      </c>
      <c r="AB61">
        <v>50</v>
      </c>
      <c r="AD61">
        <f ca="1"/>
        <v>23</v>
      </c>
    </row>
    <row r="62" spans="1:40" x14ac:dyDescent="0.2">
      <c r="A62" s="6" t="s">
        <v>219</v>
      </c>
      <c r="B62" s="7" t="s">
        <v>220</v>
      </c>
      <c r="C62" s="8">
        <v>0.46100000000000002</v>
      </c>
      <c r="D62" s="8">
        <v>0.46200000000000002</v>
      </c>
      <c r="E62" s="8">
        <v>0.46899999999999997</v>
      </c>
      <c r="F62" s="8">
        <v>0.47599999999999998</v>
      </c>
      <c r="G62" s="8">
        <v>0.48399999999999999</v>
      </c>
      <c r="H62" s="8">
        <v>0.49199999999999999</v>
      </c>
      <c r="I62" s="8">
        <v>0.503</v>
      </c>
      <c r="J62" s="8">
        <v>0.50800000000000001</v>
      </c>
      <c r="K62" s="8">
        <v>0.51800000000000002</v>
      </c>
      <c r="L62" s="8">
        <v>0.53</v>
      </c>
      <c r="M62" s="8">
        <v>0.54300000000000004</v>
      </c>
      <c r="N62" s="8">
        <v>0.55200000000000005</v>
      </c>
      <c r="O62" s="8">
        <v>0.55700000000000005</v>
      </c>
      <c r="P62" s="8">
        <v>0.56299999999999994</v>
      </c>
      <c r="Q62" s="8">
        <v>0.56699999999999995</v>
      </c>
      <c r="R62" s="8">
        <v>0.56799999999999995</v>
      </c>
      <c r="S62" s="8">
        <v>0.57399999999999995</v>
      </c>
      <c r="T62" s="8">
        <v>0.58099999999999996</v>
      </c>
      <c r="U62" s="8">
        <v>0.58799999999999997</v>
      </c>
      <c r="V62" s="8">
        <v>0.59799999999999998</v>
      </c>
      <c r="W62" s="8">
        <v>0.59299999999999997</v>
      </c>
      <c r="X62" s="8">
        <v>0.59099999999999997</v>
      </c>
      <c r="Y62" s="9">
        <v>0.60099999999999998</v>
      </c>
      <c r="Z62" t="s">
        <v>376</v>
      </c>
      <c r="AA62" t="s">
        <v>505</v>
      </c>
      <c r="AB62">
        <v>53</v>
      </c>
      <c r="AD62">
        <f ca="1"/>
        <v>101</v>
      </c>
    </row>
    <row r="63" spans="1:40" x14ac:dyDescent="0.2">
      <c r="A63" s="2" t="s">
        <v>269</v>
      </c>
      <c r="B63" s="3" t="s">
        <v>270</v>
      </c>
      <c r="C63" s="4">
        <v>0.79700000000000004</v>
      </c>
      <c r="D63" s="4">
        <v>0.80400000000000005</v>
      </c>
      <c r="E63" s="4">
        <v>0.81599999999999995</v>
      </c>
      <c r="F63" s="4">
        <v>0.82499999999999996</v>
      </c>
      <c r="G63" s="4">
        <v>0.83</v>
      </c>
      <c r="H63" s="4">
        <v>0.83299999999999996</v>
      </c>
      <c r="I63" s="4">
        <v>0.83899999999999997</v>
      </c>
      <c r="J63" s="4">
        <v>0.84499999999999997</v>
      </c>
      <c r="K63" s="4">
        <v>0.85299999999999998</v>
      </c>
      <c r="L63" s="4">
        <v>0.85699999999999998</v>
      </c>
      <c r="M63" s="4">
        <v>0.85899999999999999</v>
      </c>
      <c r="N63" s="4">
        <v>0.86299999999999999</v>
      </c>
      <c r="O63" s="4">
        <v>0.86199999999999999</v>
      </c>
      <c r="P63" s="4">
        <v>0.86299999999999999</v>
      </c>
      <c r="Q63" s="4">
        <v>0.86699999999999999</v>
      </c>
      <c r="R63" s="4">
        <v>0.874</v>
      </c>
      <c r="S63" s="4">
        <v>0.88100000000000001</v>
      </c>
      <c r="T63" s="4">
        <v>0.89100000000000001</v>
      </c>
      <c r="U63" s="4">
        <v>0.89600000000000002</v>
      </c>
      <c r="V63" s="4">
        <v>0.90100000000000002</v>
      </c>
      <c r="W63" s="4">
        <v>0.9</v>
      </c>
      <c r="X63" s="4">
        <v>0.90100000000000002</v>
      </c>
      <c r="Y63" s="5">
        <v>0.90700000000000003</v>
      </c>
      <c r="Z63" t="s">
        <v>376</v>
      </c>
      <c r="AA63" t="s">
        <v>504</v>
      </c>
      <c r="AB63">
        <v>56</v>
      </c>
      <c r="AD63">
        <f ca="1"/>
        <v>168</v>
      </c>
    </row>
    <row r="64" spans="1:40" x14ac:dyDescent="0.2">
      <c r="A64" s="2" t="s">
        <v>65</v>
      </c>
      <c r="B64" s="3" t="s">
        <v>66</v>
      </c>
      <c r="C64" s="4">
        <v>0.69199999999999995</v>
      </c>
      <c r="D64" s="4">
        <v>0.7</v>
      </c>
      <c r="E64" s="4">
        <v>0.70799999999999996</v>
      </c>
      <c r="F64" s="4">
        <v>0.71299999999999997</v>
      </c>
      <c r="G64" s="4">
        <v>0.72199999999999998</v>
      </c>
      <c r="H64" s="4">
        <v>0.72699999999999998</v>
      </c>
      <c r="I64" s="4">
        <v>0.73799999999999999</v>
      </c>
      <c r="J64" s="4">
        <v>0.74199999999999999</v>
      </c>
      <c r="K64" s="4">
        <v>0.74399999999999999</v>
      </c>
      <c r="L64" s="4">
        <v>0.748</v>
      </c>
      <c r="M64" s="4">
        <v>0.75600000000000001</v>
      </c>
      <c r="N64" s="4">
        <v>0.76500000000000001</v>
      </c>
      <c r="O64" s="4">
        <v>0.78</v>
      </c>
      <c r="P64" s="4">
        <v>0.78</v>
      </c>
      <c r="Q64" s="4">
        <v>0.78300000000000003</v>
      </c>
      <c r="R64" s="4">
        <v>0.78200000000000003</v>
      </c>
      <c r="S64" s="4">
        <v>0.78500000000000003</v>
      </c>
      <c r="T64" s="4">
        <v>0.78800000000000003</v>
      </c>
      <c r="U64" s="4">
        <v>0.78700000000000003</v>
      </c>
      <c r="V64" s="4">
        <v>0.78500000000000003</v>
      </c>
      <c r="W64" s="4">
        <v>0.77900000000000003</v>
      </c>
      <c r="X64" s="4">
        <v>0.77600000000000002</v>
      </c>
      <c r="Y64" s="5">
        <v>0.78</v>
      </c>
      <c r="Z64" t="s">
        <v>376</v>
      </c>
      <c r="AA64" t="s">
        <v>505</v>
      </c>
      <c r="AB64">
        <v>57</v>
      </c>
      <c r="AD64">
        <f ca="1"/>
        <v>140</v>
      </c>
    </row>
    <row r="65" spans="1:30" x14ac:dyDescent="0.2">
      <c r="A65" s="2" t="s">
        <v>169</v>
      </c>
      <c r="B65" s="3" t="s">
        <v>170</v>
      </c>
      <c r="C65" s="4">
        <v>0.434</v>
      </c>
      <c r="D65" s="4">
        <v>0.44400000000000001</v>
      </c>
      <c r="E65" s="4">
        <v>0.45300000000000001</v>
      </c>
      <c r="F65" s="4">
        <v>0.46200000000000002</v>
      </c>
      <c r="G65" s="4">
        <v>0.47</v>
      </c>
      <c r="H65" s="4">
        <v>0.47599999999999998</v>
      </c>
      <c r="I65" s="4">
        <v>0.48099999999999998</v>
      </c>
      <c r="J65" s="4">
        <v>0.48499999999999999</v>
      </c>
      <c r="K65" s="4">
        <v>0.48799999999999999</v>
      </c>
      <c r="L65" s="4">
        <v>0.49299999999999999</v>
      </c>
      <c r="M65" s="4">
        <v>0.496</v>
      </c>
      <c r="N65" s="4">
        <v>0.495</v>
      </c>
      <c r="O65" s="4">
        <v>0.497</v>
      </c>
      <c r="P65" s="4">
        <v>0.496</v>
      </c>
      <c r="Q65" s="4">
        <v>0.48499999999999999</v>
      </c>
      <c r="R65" s="4">
        <v>0.45500000000000002</v>
      </c>
      <c r="S65" s="4">
        <v>0.443</v>
      </c>
      <c r="T65" s="4">
        <v>0.432</v>
      </c>
      <c r="U65" s="4">
        <v>0.42699999999999999</v>
      </c>
      <c r="V65" s="4">
        <v>0.43</v>
      </c>
      <c r="W65" s="4">
        <v>0.43</v>
      </c>
      <c r="X65" s="4">
        <v>0.42499999999999999</v>
      </c>
      <c r="Y65" s="5">
        <v>0.42399999999999999</v>
      </c>
      <c r="Z65" t="s">
        <v>376</v>
      </c>
      <c r="AA65" t="s">
        <v>505</v>
      </c>
      <c r="AB65">
        <v>59</v>
      </c>
      <c r="AD65">
        <f ca="1"/>
        <v>32</v>
      </c>
    </row>
    <row r="66" spans="1:30" x14ac:dyDescent="0.2">
      <c r="A66" s="6" t="s">
        <v>307</v>
      </c>
      <c r="B66" s="7" t="s">
        <v>308</v>
      </c>
      <c r="C66" s="8">
        <v>0.78</v>
      </c>
      <c r="D66" s="8">
        <v>0.77900000000000003</v>
      </c>
      <c r="E66" s="8">
        <v>0.78500000000000003</v>
      </c>
      <c r="F66" s="8">
        <v>0.79600000000000004</v>
      </c>
      <c r="G66" s="8">
        <v>0.8</v>
      </c>
      <c r="H66" s="8">
        <v>0.8</v>
      </c>
      <c r="I66" s="8">
        <v>0.8</v>
      </c>
      <c r="J66" s="8">
        <v>0.80200000000000005</v>
      </c>
      <c r="K66" s="8">
        <v>0.80600000000000005</v>
      </c>
      <c r="L66" s="8">
        <v>0.80800000000000005</v>
      </c>
      <c r="M66" s="8">
        <v>0.81100000000000005</v>
      </c>
      <c r="N66" s="8">
        <v>0.81699999999999995</v>
      </c>
      <c r="O66" s="8">
        <v>0.82099999999999995</v>
      </c>
      <c r="P66" s="8">
        <v>0.81299999999999994</v>
      </c>
      <c r="Q66" s="8">
        <v>0.81599999999999995</v>
      </c>
      <c r="R66" s="8">
        <v>0.82899999999999996</v>
      </c>
      <c r="S66" s="8">
        <v>0.83199999999999996</v>
      </c>
      <c r="T66" s="8">
        <v>0.83499999999999996</v>
      </c>
      <c r="U66" s="8">
        <v>0.83599999999999997</v>
      </c>
      <c r="V66" s="8">
        <v>0.83799999999999997</v>
      </c>
      <c r="W66" s="8">
        <v>0.82599999999999996</v>
      </c>
      <c r="X66" s="8">
        <v>0.83599999999999997</v>
      </c>
      <c r="Y66" s="9">
        <v>0.84699999999999998</v>
      </c>
      <c r="Z66" t="s">
        <v>376</v>
      </c>
      <c r="AA66" t="s">
        <v>505</v>
      </c>
      <c r="AB66">
        <v>62</v>
      </c>
      <c r="AD66">
        <f ca="1"/>
        <v>94</v>
      </c>
    </row>
    <row r="67" spans="1:30" x14ac:dyDescent="0.2">
      <c r="A67" s="2" t="s">
        <v>253</v>
      </c>
      <c r="B67" s="3" t="s">
        <v>254</v>
      </c>
      <c r="C67" s="4">
        <v>0.77500000000000002</v>
      </c>
      <c r="D67" s="4">
        <v>0.78600000000000003</v>
      </c>
      <c r="E67" s="4">
        <v>0.79200000000000004</v>
      </c>
      <c r="F67" s="4">
        <v>0.79900000000000004</v>
      </c>
      <c r="G67" s="4">
        <v>0.79500000000000004</v>
      </c>
      <c r="H67" s="4">
        <v>0.79100000000000004</v>
      </c>
      <c r="I67" s="4">
        <v>0.79400000000000004</v>
      </c>
      <c r="J67" s="4">
        <v>0.8</v>
      </c>
      <c r="K67" s="4">
        <v>0.80300000000000005</v>
      </c>
      <c r="L67" s="4">
        <v>0.80300000000000005</v>
      </c>
      <c r="M67" s="4">
        <v>0.80700000000000005</v>
      </c>
      <c r="N67" s="4">
        <v>0.81200000000000006</v>
      </c>
      <c r="O67" s="4">
        <v>0.82699999999999996</v>
      </c>
      <c r="P67" s="4">
        <v>0.83899999999999997</v>
      </c>
      <c r="Q67" s="4">
        <v>0.83899999999999997</v>
      </c>
      <c r="R67" s="4">
        <v>0.85899999999999999</v>
      </c>
      <c r="S67" s="4">
        <v>0.86199999999999999</v>
      </c>
      <c r="T67" s="4">
        <v>0.86699999999999999</v>
      </c>
      <c r="U67" s="4">
        <v>0.88</v>
      </c>
      <c r="V67" s="4">
        <v>0.88800000000000001</v>
      </c>
      <c r="W67" s="4">
        <v>0.88400000000000001</v>
      </c>
      <c r="X67" s="4">
        <v>0.88400000000000001</v>
      </c>
      <c r="Y67" s="5">
        <v>0.88800000000000001</v>
      </c>
      <c r="Z67" t="s">
        <v>376</v>
      </c>
      <c r="AA67" t="s">
        <v>505</v>
      </c>
      <c r="AB67">
        <v>69</v>
      </c>
      <c r="AD67">
        <f ca="1"/>
        <v>152</v>
      </c>
    </row>
    <row r="68" spans="1:30" x14ac:dyDescent="0.2">
      <c r="A68" s="2" t="s">
        <v>229</v>
      </c>
      <c r="B68" s="3" t="s">
        <v>230</v>
      </c>
      <c r="C68" s="4">
        <v>0.58699999999999997</v>
      </c>
      <c r="D68" s="4">
        <v>0.59499999999999997</v>
      </c>
      <c r="E68" s="4">
        <v>0.60199999999999998</v>
      </c>
      <c r="F68" s="4">
        <v>0.61299999999999999</v>
      </c>
      <c r="G68" s="4">
        <v>0.626</v>
      </c>
      <c r="H68" s="4">
        <v>0.63900000000000001</v>
      </c>
      <c r="I68" s="4">
        <v>0.65</v>
      </c>
      <c r="J68" s="4">
        <v>0.65700000000000003</v>
      </c>
      <c r="K68" s="4">
        <v>0.65100000000000002</v>
      </c>
      <c r="L68" s="4">
        <v>0.66</v>
      </c>
      <c r="M68" s="4">
        <v>0.66100000000000003</v>
      </c>
      <c r="N68" s="4">
        <v>0.68700000000000006</v>
      </c>
      <c r="O68" s="4">
        <v>0.63800000000000001</v>
      </c>
      <c r="P68" s="4">
        <v>0.55800000000000005</v>
      </c>
      <c r="Q68" s="4">
        <v>0.54400000000000004</v>
      </c>
      <c r="R68" s="4">
        <v>0.55200000000000005</v>
      </c>
      <c r="S68" s="4">
        <v>0.55100000000000005</v>
      </c>
      <c r="T68" s="4">
        <v>0.55800000000000005</v>
      </c>
      <c r="U68" s="4">
        <v>0.56299999999999994</v>
      </c>
      <c r="V68" s="4">
        <v>0.56399999999999995</v>
      </c>
      <c r="W68" s="4">
        <v>0.56100000000000005</v>
      </c>
      <c r="X68" s="4">
        <v>0.55800000000000005</v>
      </c>
      <c r="Y68" s="5">
        <v>0.55700000000000005</v>
      </c>
      <c r="Z68" t="s">
        <v>376</v>
      </c>
      <c r="AA68" t="s">
        <v>505</v>
      </c>
      <c r="AB68">
        <v>70</v>
      </c>
      <c r="AD68">
        <f ca="1"/>
        <v>119</v>
      </c>
    </row>
    <row r="69" spans="1:30" x14ac:dyDescent="0.2">
      <c r="A69" s="6" t="s">
        <v>215</v>
      </c>
      <c r="B69" s="7" t="s">
        <v>216</v>
      </c>
      <c r="C69" s="8">
        <v>0.40699999999999997</v>
      </c>
      <c r="D69" s="8">
        <v>0.41499999999999998</v>
      </c>
      <c r="E69" s="8">
        <v>0.42499999999999999</v>
      </c>
      <c r="F69" s="8">
        <v>0.435</v>
      </c>
      <c r="G69" s="8">
        <v>0.44500000000000001</v>
      </c>
      <c r="H69" s="8">
        <v>0.45600000000000002</v>
      </c>
      <c r="I69" s="8">
        <v>0.46600000000000003</v>
      </c>
      <c r="J69" s="8">
        <v>0.47499999999999998</v>
      </c>
      <c r="K69" s="8">
        <v>0.46100000000000002</v>
      </c>
      <c r="L69" s="8">
        <v>0.497</v>
      </c>
      <c r="M69" s="8">
        <v>0.50600000000000001</v>
      </c>
      <c r="N69" s="8">
        <v>0.51700000000000002</v>
      </c>
      <c r="O69" s="8">
        <v>0.52600000000000002</v>
      </c>
      <c r="P69" s="8">
        <v>0.53800000000000003</v>
      </c>
      <c r="Q69" s="8">
        <v>0.54800000000000004</v>
      </c>
      <c r="R69" s="8">
        <v>0.55700000000000005</v>
      </c>
      <c r="S69" s="8">
        <v>0.56699999999999995</v>
      </c>
      <c r="T69" s="8">
        <v>0.57999999999999996</v>
      </c>
      <c r="U69" s="8">
        <v>0.59499999999999997</v>
      </c>
      <c r="V69" s="8">
        <v>0.60799999999999998</v>
      </c>
      <c r="W69" s="8">
        <v>0.61499999999999999</v>
      </c>
      <c r="X69" s="8">
        <v>0.59899999999999998</v>
      </c>
      <c r="Y69" s="9">
        <v>0.60799999999999998</v>
      </c>
      <c r="Z69" t="s">
        <v>376</v>
      </c>
      <c r="AA69" t="s">
        <v>505</v>
      </c>
      <c r="AB69">
        <v>75</v>
      </c>
      <c r="AD69">
        <f ca="1"/>
        <v>80</v>
      </c>
    </row>
    <row r="70" spans="1:30" x14ac:dyDescent="0.2">
      <c r="A70" s="2" t="s">
        <v>29</v>
      </c>
      <c r="B70" s="3" t="s">
        <v>30</v>
      </c>
      <c r="C70" s="4">
        <v>0.65600000000000003</v>
      </c>
      <c r="D70" s="4">
        <v>0.66100000000000003</v>
      </c>
      <c r="E70" s="4">
        <v>0.67</v>
      </c>
      <c r="F70" s="4">
        <v>0.68100000000000005</v>
      </c>
      <c r="G70" s="4">
        <v>0.68899999999999995</v>
      </c>
      <c r="H70" s="4">
        <v>0.70099999999999996</v>
      </c>
      <c r="I70" s="4">
        <v>0.71399999999999997</v>
      </c>
      <c r="J70" s="4">
        <v>0.73</v>
      </c>
      <c r="K70" s="4">
        <v>0.73299999999999998</v>
      </c>
      <c r="L70" s="4">
        <v>0.73199999999999998</v>
      </c>
      <c r="M70" s="4">
        <v>0.73899999999999999</v>
      </c>
      <c r="N70" s="4">
        <v>0.74299999999999999</v>
      </c>
      <c r="O70" s="4">
        <v>0.751</v>
      </c>
      <c r="P70" s="4">
        <v>0.75700000000000001</v>
      </c>
      <c r="Q70" s="4">
        <v>0.76400000000000001</v>
      </c>
      <c r="R70" s="4">
        <v>0.76900000000000002</v>
      </c>
      <c r="S70" s="4">
        <v>0.77300000000000002</v>
      </c>
      <c r="T70" s="4">
        <v>0.77500000000000002</v>
      </c>
      <c r="U70" s="4">
        <v>0.78100000000000003</v>
      </c>
      <c r="V70" s="4">
        <v>0.78900000000000003</v>
      </c>
      <c r="W70" s="4">
        <v>0.76900000000000002</v>
      </c>
      <c r="X70" s="4">
        <v>0.77400000000000002</v>
      </c>
      <c r="Y70" s="5">
        <v>0.78600000000000003</v>
      </c>
      <c r="Z70" t="s">
        <v>376</v>
      </c>
      <c r="AA70" t="s">
        <v>505</v>
      </c>
      <c r="AB70">
        <v>77</v>
      </c>
      <c r="AD70">
        <f ca="1"/>
        <v>169</v>
      </c>
    </row>
    <row r="71" spans="1:30" x14ac:dyDescent="0.2">
      <c r="A71" s="2" t="s">
        <v>305</v>
      </c>
      <c r="B71" s="3" t="s">
        <v>306</v>
      </c>
      <c r="C71" s="4">
        <v>0.82399999999999995</v>
      </c>
      <c r="D71" s="4">
        <v>0.83199999999999996</v>
      </c>
      <c r="E71" s="4">
        <v>0.84099999999999997</v>
      </c>
      <c r="F71" s="4">
        <v>0.84499999999999997</v>
      </c>
      <c r="G71" s="4">
        <v>0.85299999999999998</v>
      </c>
      <c r="H71" s="4">
        <v>0.86099999999999999</v>
      </c>
      <c r="I71" s="4">
        <v>0.86599999999999999</v>
      </c>
      <c r="J71" s="4">
        <v>0.871</v>
      </c>
      <c r="K71" s="4">
        <v>0.874</v>
      </c>
      <c r="L71" s="4">
        <v>0.876</v>
      </c>
      <c r="M71" s="4">
        <v>0.89</v>
      </c>
      <c r="N71" s="4">
        <v>0.89500000000000002</v>
      </c>
      <c r="O71" s="4">
        <v>0.89700000000000002</v>
      </c>
      <c r="P71" s="4">
        <v>0.90200000000000002</v>
      </c>
      <c r="Q71" s="4">
        <v>0.90600000000000003</v>
      </c>
      <c r="R71" s="4">
        <v>0.90800000000000003</v>
      </c>
      <c r="S71" s="4">
        <v>0.91200000000000003</v>
      </c>
      <c r="T71" s="4">
        <v>0.91500000000000004</v>
      </c>
      <c r="U71" s="4">
        <v>0.91800000000000004</v>
      </c>
      <c r="V71" s="4">
        <v>0.92200000000000004</v>
      </c>
      <c r="W71" s="4">
        <v>0.92200000000000004</v>
      </c>
      <c r="X71" s="4">
        <v>0.92600000000000005</v>
      </c>
      <c r="Y71" s="5">
        <v>0.92900000000000005</v>
      </c>
      <c r="Z71" t="s">
        <v>376</v>
      </c>
      <c r="AA71" t="s">
        <v>505</v>
      </c>
      <c r="AB71">
        <v>88</v>
      </c>
      <c r="AD71">
        <f ca="1"/>
        <v>164</v>
      </c>
    </row>
    <row r="72" spans="1:30" x14ac:dyDescent="0.2">
      <c r="A72" s="2" t="s">
        <v>261</v>
      </c>
      <c r="B72" s="3" t="s">
        <v>262</v>
      </c>
      <c r="C72" s="4">
        <v>0.78900000000000003</v>
      </c>
      <c r="D72" s="4">
        <v>0.79200000000000004</v>
      </c>
      <c r="E72" s="4">
        <v>0.79600000000000004</v>
      </c>
      <c r="F72" s="4">
        <v>0.80200000000000005</v>
      </c>
      <c r="G72" s="4">
        <v>0.80700000000000005</v>
      </c>
      <c r="H72" s="4">
        <v>0.81100000000000005</v>
      </c>
      <c r="I72" s="4">
        <v>0.81699999999999995</v>
      </c>
      <c r="J72" s="4">
        <v>0.82</v>
      </c>
      <c r="K72" s="4">
        <v>0.82099999999999995</v>
      </c>
      <c r="L72" s="4">
        <v>0.82299999999999995</v>
      </c>
      <c r="M72" s="4">
        <v>0.82499999999999996</v>
      </c>
      <c r="N72" s="4">
        <v>0.82899999999999996</v>
      </c>
      <c r="O72" s="4">
        <v>0.83599999999999997</v>
      </c>
      <c r="P72" s="4">
        <v>0.83499999999999996</v>
      </c>
      <c r="Q72" s="4">
        <v>0.83399999999999996</v>
      </c>
      <c r="R72" s="4">
        <v>0.83199999999999996</v>
      </c>
      <c r="S72" s="4">
        <v>0.83</v>
      </c>
      <c r="T72" s="4">
        <v>0.82899999999999996</v>
      </c>
      <c r="U72" s="4">
        <v>0.82599999999999996</v>
      </c>
      <c r="V72" s="4">
        <v>0.82699999999999996</v>
      </c>
      <c r="W72" s="4">
        <v>0.82699999999999996</v>
      </c>
      <c r="X72" s="4">
        <v>0.82399999999999995</v>
      </c>
      <c r="Y72" s="5">
        <v>0.82299999999999995</v>
      </c>
      <c r="Z72" t="s">
        <v>376</v>
      </c>
      <c r="AA72" t="s">
        <v>505</v>
      </c>
      <c r="AB72">
        <v>90</v>
      </c>
      <c r="AD72">
        <f ca="1"/>
        <v>120</v>
      </c>
    </row>
    <row r="73" spans="1:30" x14ac:dyDescent="0.2">
      <c r="A73" s="6" t="s">
        <v>71</v>
      </c>
      <c r="B73" s="7" t="s">
        <v>72</v>
      </c>
      <c r="C73" s="8">
        <v>0.61699999999999999</v>
      </c>
      <c r="D73" s="8">
        <v>0.626</v>
      </c>
      <c r="E73" s="8">
        <v>0.627</v>
      </c>
      <c r="F73" s="8">
        <v>0.63500000000000001</v>
      </c>
      <c r="G73" s="8">
        <v>0.63800000000000001</v>
      </c>
      <c r="H73" s="8">
        <v>0.64</v>
      </c>
      <c r="I73" s="8">
        <v>0.64600000000000002</v>
      </c>
      <c r="J73" s="8">
        <v>0.65200000000000002</v>
      </c>
      <c r="K73" s="8">
        <v>0.65700000000000003</v>
      </c>
      <c r="L73" s="8">
        <v>0.66100000000000003</v>
      </c>
      <c r="M73" s="8">
        <v>0.66100000000000003</v>
      </c>
      <c r="N73" s="8">
        <v>0.66400000000000003</v>
      </c>
      <c r="O73" s="8">
        <v>0.67300000000000004</v>
      </c>
      <c r="P73" s="8">
        <v>0.68</v>
      </c>
      <c r="Q73" s="8">
        <v>0.68600000000000005</v>
      </c>
      <c r="R73" s="8">
        <v>0.68899999999999995</v>
      </c>
      <c r="S73" s="8">
        <v>0.69199999999999995</v>
      </c>
      <c r="T73" s="8">
        <v>0.69499999999999995</v>
      </c>
      <c r="U73" s="8">
        <v>0.69799999999999995</v>
      </c>
      <c r="V73" s="8">
        <v>0.69899999999999995</v>
      </c>
      <c r="W73" s="8">
        <v>0.69099999999999995</v>
      </c>
      <c r="X73" s="8">
        <v>0.69599999999999995</v>
      </c>
      <c r="Y73" s="9">
        <v>0.70099999999999996</v>
      </c>
      <c r="Z73" t="s">
        <v>376</v>
      </c>
      <c r="AA73" t="s">
        <v>505</v>
      </c>
      <c r="AB73">
        <v>97</v>
      </c>
      <c r="AD73">
        <f ca="1"/>
        <v>51</v>
      </c>
    </row>
    <row r="74" spans="1:30" x14ac:dyDescent="0.2">
      <c r="A74" s="6" t="s">
        <v>171</v>
      </c>
      <c r="B74" s="7" t="s">
        <v>172</v>
      </c>
      <c r="C74" s="8">
        <v>0.49099999999999999</v>
      </c>
      <c r="D74" s="8">
        <v>0.498</v>
      </c>
      <c r="E74" s="8">
        <v>0.505</v>
      </c>
      <c r="F74" s="8">
        <v>0.51100000000000001</v>
      </c>
      <c r="G74" s="8">
        <v>0.51800000000000002</v>
      </c>
      <c r="H74" s="8">
        <v>0.52500000000000002</v>
      </c>
      <c r="I74" s="8">
        <v>0.53</v>
      </c>
      <c r="J74" s="8">
        <v>0.53300000000000003</v>
      </c>
      <c r="K74" s="8">
        <v>0.53500000000000003</v>
      </c>
      <c r="L74" s="8">
        <v>0.54700000000000004</v>
      </c>
      <c r="M74" s="8">
        <v>0.55800000000000005</v>
      </c>
      <c r="N74" s="8">
        <v>0.56499999999999995</v>
      </c>
      <c r="O74" s="8">
        <v>0.57499999999999996</v>
      </c>
      <c r="P74" s="8">
        <v>0.57699999999999996</v>
      </c>
      <c r="Q74" s="8">
        <v>0.58499999999999996</v>
      </c>
      <c r="R74" s="8">
        <v>0.60399999999999998</v>
      </c>
      <c r="S74" s="8">
        <v>0.61299999999999999</v>
      </c>
      <c r="T74" s="8">
        <v>0.622</v>
      </c>
      <c r="U74" s="8">
        <v>0.63600000000000001</v>
      </c>
      <c r="V74" s="8">
        <v>0.64600000000000002</v>
      </c>
      <c r="W74" s="8">
        <v>0.65700000000000003</v>
      </c>
      <c r="X74" s="8">
        <v>0.66200000000000003</v>
      </c>
      <c r="Y74" s="9">
        <v>0.67</v>
      </c>
      <c r="Z74" t="s">
        <v>376</v>
      </c>
      <c r="AA74" t="s">
        <v>505</v>
      </c>
      <c r="AB74">
        <v>100</v>
      </c>
      <c r="AD74">
        <f ca="1"/>
        <v>47</v>
      </c>
    </row>
    <row r="75" spans="1:30" x14ac:dyDescent="0.2">
      <c r="A75" s="2" t="s">
        <v>69</v>
      </c>
      <c r="B75" s="3" t="s">
        <v>70</v>
      </c>
      <c r="C75" s="4">
        <v>0.68100000000000005</v>
      </c>
      <c r="D75" s="4">
        <v>0.68700000000000006</v>
      </c>
      <c r="E75" s="4">
        <v>0.69099999999999995</v>
      </c>
      <c r="F75" s="4">
        <v>0.69699999999999995</v>
      </c>
      <c r="G75" s="4">
        <v>0.70699999999999996</v>
      </c>
      <c r="H75" s="4">
        <v>0.71299999999999997</v>
      </c>
      <c r="I75" s="4">
        <v>0.71899999999999997</v>
      </c>
      <c r="J75" s="4">
        <v>0.71599999999999997</v>
      </c>
      <c r="K75" s="4">
        <v>0.72599999999999998</v>
      </c>
      <c r="L75" s="4">
        <v>0.72799999999999998</v>
      </c>
      <c r="M75" s="4">
        <v>0.72699999999999998</v>
      </c>
      <c r="N75" s="4">
        <v>0.73</v>
      </c>
      <c r="O75" s="4">
        <v>0.73599999999999999</v>
      </c>
      <c r="P75" s="4">
        <v>0.73799999999999999</v>
      </c>
      <c r="Q75" s="4">
        <v>0.73699999999999999</v>
      </c>
      <c r="R75" s="4">
        <v>0.73799999999999999</v>
      </c>
      <c r="S75" s="4">
        <v>0.74</v>
      </c>
      <c r="T75" s="4">
        <v>0.74399999999999999</v>
      </c>
      <c r="U75" s="4">
        <v>0.74199999999999999</v>
      </c>
      <c r="V75" s="4">
        <v>0.74399999999999999</v>
      </c>
      <c r="W75" s="4">
        <v>0.74</v>
      </c>
      <c r="X75" s="4">
        <v>0.73599999999999999</v>
      </c>
      <c r="Y75" s="5">
        <v>0.73599999999999999</v>
      </c>
      <c r="Z75" t="s">
        <v>376</v>
      </c>
      <c r="AA75" t="s">
        <v>505</v>
      </c>
      <c r="AB75">
        <v>108</v>
      </c>
      <c r="AD75">
        <f ca="1"/>
        <v>25</v>
      </c>
    </row>
    <row r="76" spans="1:30" x14ac:dyDescent="0.2">
      <c r="A76" s="6" t="s">
        <v>115</v>
      </c>
      <c r="B76" s="7" t="s">
        <v>116</v>
      </c>
      <c r="C76" s="8">
        <v>0.34</v>
      </c>
      <c r="D76" s="8">
        <v>0.34399999999999997</v>
      </c>
      <c r="E76" s="8">
        <v>0.36799999999999999</v>
      </c>
      <c r="F76" s="8">
        <v>0.379</v>
      </c>
      <c r="G76" s="8">
        <v>0.39500000000000002</v>
      </c>
      <c r="H76" s="8">
        <v>0.40200000000000002</v>
      </c>
      <c r="I76" s="8">
        <v>0.41</v>
      </c>
      <c r="J76" s="8">
        <v>0.42599999999999999</v>
      </c>
      <c r="K76" s="8">
        <v>0.43099999999999999</v>
      </c>
      <c r="L76" s="8">
        <v>0.441</v>
      </c>
      <c r="M76" s="8">
        <v>0.44900000000000001</v>
      </c>
      <c r="N76" s="8">
        <v>0.45700000000000002</v>
      </c>
      <c r="O76" s="8">
        <v>0.46700000000000003</v>
      </c>
      <c r="P76" s="8">
        <v>0.47499999999999998</v>
      </c>
      <c r="Q76" s="8">
        <v>0.48</v>
      </c>
      <c r="R76" s="8">
        <v>0.47899999999999998</v>
      </c>
      <c r="S76" s="8">
        <v>0.48299999999999998</v>
      </c>
      <c r="T76" s="8">
        <v>0.48499999999999999</v>
      </c>
      <c r="U76" s="8">
        <v>0.48599999999999999</v>
      </c>
      <c r="V76" s="8">
        <v>0.49199999999999999</v>
      </c>
      <c r="W76" s="8">
        <v>0.48799999999999999</v>
      </c>
      <c r="X76" s="8">
        <v>0.47299999999999998</v>
      </c>
      <c r="Y76" s="9">
        <v>0.46200000000000002</v>
      </c>
      <c r="Z76" t="s">
        <v>376</v>
      </c>
      <c r="AA76" t="s">
        <v>505</v>
      </c>
      <c r="AB76">
        <v>110</v>
      </c>
      <c r="AD76">
        <f ca="1"/>
        <v>37</v>
      </c>
    </row>
    <row r="77" spans="1:30" x14ac:dyDescent="0.2">
      <c r="A77" s="6" t="s">
        <v>103</v>
      </c>
      <c r="B77" s="7" t="s">
        <v>104</v>
      </c>
      <c r="C77" s="8">
        <v>0.68899999999999995</v>
      </c>
      <c r="D77" s="8">
        <v>0.69099999999999995</v>
      </c>
      <c r="E77" s="8">
        <v>0.69499999999999995</v>
      </c>
      <c r="F77" s="8">
        <v>0.7</v>
      </c>
      <c r="G77" s="8">
        <v>0.68300000000000005</v>
      </c>
      <c r="H77" s="8">
        <v>0.71</v>
      </c>
      <c r="I77" s="8">
        <v>0.71299999999999997</v>
      </c>
      <c r="J77" s="8">
        <v>0.71799999999999997</v>
      </c>
      <c r="K77" s="8">
        <v>0.71899999999999997</v>
      </c>
      <c r="L77" s="8">
        <v>0.71099999999999997</v>
      </c>
      <c r="M77" s="8">
        <v>0.73499999999999999</v>
      </c>
      <c r="N77" s="8">
        <v>0.74099999999999999</v>
      </c>
      <c r="O77" s="8">
        <v>0.747</v>
      </c>
      <c r="P77" s="8">
        <v>0.752</v>
      </c>
      <c r="Q77" s="8">
        <v>0.75700000000000001</v>
      </c>
      <c r="R77" s="8">
        <v>0.76</v>
      </c>
      <c r="S77" s="8">
        <v>0.76500000000000001</v>
      </c>
      <c r="T77" s="8">
        <v>0.77</v>
      </c>
      <c r="U77" s="8">
        <v>0.77400000000000002</v>
      </c>
      <c r="V77" s="8">
        <v>0.77500000000000002</v>
      </c>
      <c r="W77" s="8">
        <v>0.77700000000000002</v>
      </c>
      <c r="X77" s="8">
        <v>0.78300000000000003</v>
      </c>
      <c r="Y77" s="9">
        <v>0.78</v>
      </c>
      <c r="Z77" t="s">
        <v>376</v>
      </c>
      <c r="AA77" t="s">
        <v>505</v>
      </c>
      <c r="AB77">
        <v>112</v>
      </c>
      <c r="AD77">
        <f ca="1"/>
        <v>64</v>
      </c>
    </row>
    <row r="78" spans="1:30" x14ac:dyDescent="0.2">
      <c r="A78" s="2" t="s">
        <v>281</v>
      </c>
      <c r="B78" s="3" t="s">
        <v>282</v>
      </c>
      <c r="C78" s="4">
        <v>0.69399999999999995</v>
      </c>
      <c r="D78" s="4">
        <v>0.7</v>
      </c>
      <c r="E78" s="4">
        <v>0.70899999999999996</v>
      </c>
      <c r="F78" s="4">
        <v>0.71899999999999997</v>
      </c>
      <c r="G78" s="4">
        <v>0.72699999999999998</v>
      </c>
      <c r="H78" s="4">
        <v>0.73799999999999999</v>
      </c>
      <c r="I78" s="4">
        <v>0.74399999999999999</v>
      </c>
      <c r="J78" s="4">
        <v>0.755</v>
      </c>
      <c r="K78" s="4">
        <v>0.751</v>
      </c>
      <c r="L78" s="4">
        <v>0.75600000000000001</v>
      </c>
      <c r="M78" s="4">
        <v>0.76300000000000001</v>
      </c>
      <c r="N78" s="4">
        <v>0.77100000000000002</v>
      </c>
      <c r="O78" s="4">
        <v>0.77900000000000003</v>
      </c>
      <c r="P78" s="4">
        <v>0.78400000000000003</v>
      </c>
      <c r="Q78" s="4">
        <v>0.79300000000000004</v>
      </c>
      <c r="R78" s="4">
        <v>0.79800000000000004</v>
      </c>
      <c r="S78" s="4">
        <v>0.80200000000000005</v>
      </c>
      <c r="T78" s="4">
        <v>0.80700000000000005</v>
      </c>
      <c r="U78" s="4">
        <v>0.81599999999999995</v>
      </c>
      <c r="V78" s="4">
        <v>0.81599999999999995</v>
      </c>
      <c r="W78" s="4">
        <v>0.80700000000000005</v>
      </c>
      <c r="X78" s="4">
        <v>0.80900000000000005</v>
      </c>
      <c r="Y78" s="5">
        <v>0.81399999999999995</v>
      </c>
      <c r="Z78" t="s">
        <v>376</v>
      </c>
      <c r="AA78" t="s">
        <v>505</v>
      </c>
      <c r="AB78">
        <v>113</v>
      </c>
      <c r="AD78">
        <f ca="1"/>
        <v>110</v>
      </c>
    </row>
    <row r="79" spans="1:30" x14ac:dyDescent="0.2">
      <c r="A79" s="6" t="s">
        <v>75</v>
      </c>
      <c r="B79" s="7" t="s">
        <v>76</v>
      </c>
      <c r="C79" s="8">
        <v>0.63500000000000001</v>
      </c>
      <c r="D79" s="8">
        <v>0.63900000000000001</v>
      </c>
      <c r="E79" s="8">
        <v>0.64200000000000002</v>
      </c>
      <c r="F79" s="8">
        <v>0.65500000000000003</v>
      </c>
      <c r="G79" s="8">
        <v>0.65600000000000003</v>
      </c>
      <c r="H79" s="8">
        <v>0.65500000000000003</v>
      </c>
      <c r="I79" s="8">
        <v>0.67</v>
      </c>
      <c r="J79" s="8">
        <v>0.67</v>
      </c>
      <c r="K79" s="8">
        <v>0.68200000000000005</v>
      </c>
      <c r="L79" s="8">
        <v>0.68400000000000005</v>
      </c>
      <c r="M79" s="8">
        <v>0.69199999999999995</v>
      </c>
      <c r="N79" s="8">
        <v>0.70099999999999996</v>
      </c>
      <c r="O79" s="8">
        <v>0.70799999999999996</v>
      </c>
      <c r="P79" s="8">
        <v>0.71499999999999997</v>
      </c>
      <c r="Q79" s="8">
        <v>0.72299999999999998</v>
      </c>
      <c r="R79" s="8">
        <v>0.72799999999999998</v>
      </c>
      <c r="S79" s="8">
        <v>0.73399999999999999</v>
      </c>
      <c r="T79" s="8">
        <v>0.74</v>
      </c>
      <c r="U79" s="8">
        <v>0.747</v>
      </c>
      <c r="V79" s="8">
        <v>0.753</v>
      </c>
      <c r="W79" s="8">
        <v>0.73699999999999999</v>
      </c>
      <c r="X79" s="8">
        <v>0.753</v>
      </c>
      <c r="Y79" s="9">
        <v>0.76200000000000001</v>
      </c>
      <c r="Z79" t="s">
        <v>376</v>
      </c>
      <c r="AA79" t="s">
        <v>505</v>
      </c>
      <c r="AB79">
        <v>114</v>
      </c>
      <c r="AD79">
        <f ca="1"/>
        <v>42</v>
      </c>
    </row>
    <row r="80" spans="1:30" x14ac:dyDescent="0.2">
      <c r="A80" s="2" t="s">
        <v>201</v>
      </c>
      <c r="B80" s="3" t="s">
        <v>202</v>
      </c>
      <c r="C80" s="4">
        <v>0.49</v>
      </c>
      <c r="D80" s="4">
        <v>0.495</v>
      </c>
      <c r="E80" s="4">
        <v>0.501</v>
      </c>
      <c r="F80" s="4">
        <v>0.51400000000000001</v>
      </c>
      <c r="G80" s="4">
        <v>0.52300000000000002</v>
      </c>
      <c r="H80" s="4">
        <v>0.53200000000000003</v>
      </c>
      <c r="I80" s="4">
        <v>0.54100000000000004</v>
      </c>
      <c r="J80" s="4">
        <v>0.55000000000000004</v>
      </c>
      <c r="K80" s="4">
        <v>0.55700000000000005</v>
      </c>
      <c r="L80" s="4">
        <v>0.56200000000000006</v>
      </c>
      <c r="M80" s="4">
        <v>0.57199999999999995</v>
      </c>
      <c r="N80" s="4">
        <v>0.58599999999999997</v>
      </c>
      <c r="O80" s="4">
        <v>0.59399999999999997</v>
      </c>
      <c r="P80" s="4">
        <v>0.6</v>
      </c>
      <c r="Q80" s="4">
        <v>0.61099999999999999</v>
      </c>
      <c r="R80" s="4">
        <v>0.61899999999999999</v>
      </c>
      <c r="S80" s="4">
        <v>0.63</v>
      </c>
      <c r="T80" s="4">
        <v>0.63600000000000001</v>
      </c>
      <c r="U80" s="4">
        <v>0.63600000000000001</v>
      </c>
      <c r="V80" s="4">
        <v>0.63800000000000001</v>
      </c>
      <c r="W80" s="4">
        <v>0.63800000000000001</v>
      </c>
      <c r="X80" s="4">
        <v>0.63300000000000001</v>
      </c>
      <c r="Y80" s="5">
        <v>0.64400000000000002</v>
      </c>
      <c r="Z80" t="s">
        <v>376</v>
      </c>
      <c r="AA80" t="s">
        <v>505</v>
      </c>
      <c r="AB80">
        <v>119</v>
      </c>
      <c r="AD80">
        <f ca="1"/>
        <v>40</v>
      </c>
    </row>
    <row r="81" spans="1:30" x14ac:dyDescent="0.2">
      <c r="A81" s="6" t="s">
        <v>367</v>
      </c>
      <c r="B81" s="7" t="s">
        <v>368</v>
      </c>
      <c r="C81" s="8">
        <v>0.79</v>
      </c>
      <c r="D81" s="8">
        <v>0.79400000000000004</v>
      </c>
      <c r="E81" s="8">
        <v>0.79800000000000004</v>
      </c>
      <c r="F81" s="8">
        <v>0.80700000000000005</v>
      </c>
      <c r="G81" s="8">
        <v>0.81100000000000005</v>
      </c>
      <c r="H81" s="8">
        <v>0.81499999999999995</v>
      </c>
      <c r="I81" s="8">
        <v>0.82</v>
      </c>
      <c r="J81" s="8">
        <v>0.82499999999999996</v>
      </c>
      <c r="K81" s="8">
        <v>0.82699999999999996</v>
      </c>
      <c r="L81" s="8">
        <v>0.82499999999999996</v>
      </c>
      <c r="M81" s="8">
        <v>0.82799999999999996</v>
      </c>
      <c r="N81" s="8">
        <v>0.83499999999999996</v>
      </c>
      <c r="O81" s="8">
        <v>0.84099999999999997</v>
      </c>
      <c r="P81" s="8">
        <v>0.84699999999999998</v>
      </c>
      <c r="Q81" s="8">
        <v>0.85299999999999998</v>
      </c>
      <c r="R81" s="8">
        <v>0.86</v>
      </c>
      <c r="S81" s="8">
        <v>0.86599999999999999</v>
      </c>
      <c r="T81" s="8">
        <v>0.89800000000000002</v>
      </c>
      <c r="U81" s="8">
        <v>0.91700000000000004</v>
      </c>
      <c r="V81" s="8">
        <v>0.93300000000000005</v>
      </c>
      <c r="W81" s="8">
        <v>0.93</v>
      </c>
      <c r="X81" s="8">
        <v>0.93100000000000005</v>
      </c>
      <c r="Y81" s="9">
        <v>0.93700000000000006</v>
      </c>
      <c r="Z81" t="s">
        <v>376</v>
      </c>
      <c r="AA81" t="s">
        <v>505</v>
      </c>
      <c r="AB81">
        <v>120</v>
      </c>
      <c r="AD81">
        <f ca="1"/>
        <v>90</v>
      </c>
    </row>
    <row r="82" spans="1:30" x14ac:dyDescent="0.2">
      <c r="A82" s="6" t="s">
        <v>203</v>
      </c>
      <c r="B82" s="7" t="s">
        <v>204</v>
      </c>
      <c r="C82" s="8">
        <v>0.58299999999999996</v>
      </c>
      <c r="D82" s="8">
        <v>0.58799999999999997</v>
      </c>
      <c r="E82" s="8">
        <v>0.58799999999999997</v>
      </c>
      <c r="F82" s="8">
        <v>0.56599999999999995</v>
      </c>
      <c r="G82" s="8">
        <v>0.58799999999999997</v>
      </c>
      <c r="H82" s="8">
        <v>0.59099999999999997</v>
      </c>
      <c r="I82" s="8">
        <v>0.59099999999999997</v>
      </c>
      <c r="J82" s="8">
        <v>0.59599999999999997</v>
      </c>
      <c r="K82" s="8">
        <v>0.61199999999999999</v>
      </c>
      <c r="L82" s="8">
        <v>0.622</v>
      </c>
      <c r="M82" s="8">
        <v>0.629</v>
      </c>
      <c r="N82" s="8">
        <v>0.63700000000000001</v>
      </c>
      <c r="O82" s="8">
        <v>0.64400000000000002</v>
      </c>
      <c r="P82" s="8">
        <v>0.64800000000000002</v>
      </c>
      <c r="Q82" s="8">
        <v>0.65100000000000002</v>
      </c>
      <c r="R82" s="8">
        <v>0.65600000000000003</v>
      </c>
      <c r="S82" s="8">
        <v>0.66100000000000003</v>
      </c>
      <c r="T82" s="8">
        <v>0.66700000000000004</v>
      </c>
      <c r="U82" s="8">
        <v>0.67300000000000004</v>
      </c>
      <c r="V82" s="8">
        <v>0.67800000000000005</v>
      </c>
      <c r="W82" s="8">
        <v>0.66100000000000003</v>
      </c>
      <c r="X82" s="8">
        <v>0.66700000000000004</v>
      </c>
      <c r="Y82" s="9">
        <v>0.67300000000000004</v>
      </c>
      <c r="Z82" t="s">
        <v>376</v>
      </c>
      <c r="AA82" t="s">
        <v>505</v>
      </c>
      <c r="AB82">
        <v>124</v>
      </c>
      <c r="AD82">
        <f ca="1"/>
        <v>63</v>
      </c>
    </row>
    <row r="83" spans="1:30" x14ac:dyDescent="0.2">
      <c r="A83" s="2" t="s">
        <v>177</v>
      </c>
      <c r="B83" s="3" t="s">
        <v>178</v>
      </c>
      <c r="C83" s="4">
        <v>0.43099999999999999</v>
      </c>
      <c r="D83" s="4">
        <v>0.44700000000000001</v>
      </c>
      <c r="E83" s="4">
        <v>0.46899999999999997</v>
      </c>
      <c r="F83" s="4">
        <v>0.48399999999999999</v>
      </c>
      <c r="G83" s="4">
        <v>0.499</v>
      </c>
      <c r="H83" s="4">
        <v>0.51</v>
      </c>
      <c r="I83" s="4">
        <v>0.52200000000000002</v>
      </c>
      <c r="J83" s="4">
        <v>0.53100000000000003</v>
      </c>
      <c r="K83" s="4">
        <v>0.53600000000000003</v>
      </c>
      <c r="L83" s="4">
        <v>0.53800000000000003</v>
      </c>
      <c r="M83" s="4">
        <v>0.54200000000000004</v>
      </c>
      <c r="N83" s="4">
        <v>0.54600000000000004</v>
      </c>
      <c r="O83" s="4">
        <v>0.55100000000000005</v>
      </c>
      <c r="P83" s="4">
        <v>0.55400000000000005</v>
      </c>
      <c r="Q83" s="4">
        <v>0.55900000000000005</v>
      </c>
      <c r="R83" s="4">
        <v>0.56399999999999995</v>
      </c>
      <c r="S83" s="4">
        <v>0.57299999999999995</v>
      </c>
      <c r="T83" s="4">
        <v>0.58099999999999996</v>
      </c>
      <c r="U83" s="4">
        <v>0.58799999999999997</v>
      </c>
      <c r="V83" s="4">
        <v>0.59599999999999997</v>
      </c>
      <c r="W83" s="4">
        <v>0.59599999999999997</v>
      </c>
      <c r="X83" s="4">
        <v>0.59599999999999997</v>
      </c>
      <c r="Y83" s="5">
        <v>0.6</v>
      </c>
      <c r="Z83" t="s">
        <v>376</v>
      </c>
      <c r="AA83" t="s">
        <v>505</v>
      </c>
      <c r="AB83">
        <v>127</v>
      </c>
      <c r="AD83">
        <f ca="1"/>
        <v>161</v>
      </c>
    </row>
    <row r="84" spans="1:30" x14ac:dyDescent="0.2">
      <c r="A84" s="2" t="s">
        <v>365</v>
      </c>
      <c r="B84" s="3" t="s">
        <v>366</v>
      </c>
      <c r="C84" s="4">
        <v>0.66900000000000004</v>
      </c>
      <c r="D84" s="4">
        <v>0.67500000000000004</v>
      </c>
      <c r="E84" s="4">
        <v>0.68500000000000005</v>
      </c>
      <c r="F84" s="4">
        <v>0.69099999999999995</v>
      </c>
      <c r="G84" s="4">
        <v>0.69599999999999995</v>
      </c>
      <c r="H84" s="4">
        <v>0.70099999999999996</v>
      </c>
      <c r="I84" s="4">
        <v>0.71099999999999997</v>
      </c>
      <c r="J84" s="4">
        <v>0.71799999999999997</v>
      </c>
      <c r="K84" s="4">
        <v>0.72099999999999997</v>
      </c>
      <c r="L84" s="4">
        <v>0.72799999999999998</v>
      </c>
      <c r="M84" s="4">
        <v>0.75</v>
      </c>
      <c r="N84" s="4">
        <v>0.76300000000000001</v>
      </c>
      <c r="O84" s="4">
        <v>0.77200000000000002</v>
      </c>
      <c r="P84" s="4">
        <v>0.80200000000000005</v>
      </c>
      <c r="Q84" s="4">
        <v>0.81200000000000006</v>
      </c>
      <c r="R84" s="4">
        <v>0.82099999999999995</v>
      </c>
      <c r="S84" s="4">
        <v>0.82599999999999996</v>
      </c>
      <c r="T84" s="4">
        <v>0.83299999999999996</v>
      </c>
      <c r="U84" s="4">
        <v>0.83799999999999997</v>
      </c>
      <c r="V84" s="4">
        <v>0.84199999999999997</v>
      </c>
      <c r="W84" s="4">
        <v>0.83499999999999996</v>
      </c>
      <c r="X84" s="4">
        <v>0.84099999999999997</v>
      </c>
      <c r="Y84" s="5">
        <v>0.85499999999999998</v>
      </c>
      <c r="Z84" t="s">
        <v>376</v>
      </c>
      <c r="AA84" t="s">
        <v>505</v>
      </c>
      <c r="AB84">
        <v>132</v>
      </c>
      <c r="AD84">
        <f ca="1"/>
        <v>126</v>
      </c>
    </row>
    <row r="85" spans="1:30" x14ac:dyDescent="0.2">
      <c r="A85" s="2" t="s">
        <v>349</v>
      </c>
      <c r="B85" s="3" t="s">
        <v>350</v>
      </c>
      <c r="C85" s="4">
        <v>0.86299999999999999</v>
      </c>
      <c r="D85" s="4">
        <v>0.86699999999999999</v>
      </c>
      <c r="E85" s="4">
        <v>0.872</v>
      </c>
      <c r="F85" s="4">
        <v>0.878</v>
      </c>
      <c r="G85" s="4">
        <v>0.88600000000000001</v>
      </c>
      <c r="H85" s="4">
        <v>0.89600000000000002</v>
      </c>
      <c r="I85" s="4">
        <v>0.90100000000000002</v>
      </c>
      <c r="J85" s="4">
        <v>0.90600000000000003</v>
      </c>
      <c r="K85" s="4">
        <v>0.91</v>
      </c>
      <c r="L85" s="4">
        <v>0.91</v>
      </c>
      <c r="M85" s="4">
        <v>0.92100000000000004</v>
      </c>
      <c r="N85" s="4">
        <v>0.92400000000000004</v>
      </c>
      <c r="O85" s="4">
        <v>0.92600000000000005</v>
      </c>
      <c r="P85" s="4">
        <v>0.93</v>
      </c>
      <c r="Q85" s="4">
        <v>0.93200000000000005</v>
      </c>
      <c r="R85" s="4">
        <v>0.93500000000000005</v>
      </c>
      <c r="S85" s="4">
        <v>0.93700000000000006</v>
      </c>
      <c r="T85" s="4">
        <v>0.93799999999999994</v>
      </c>
      <c r="U85" s="4">
        <v>0.94199999999999995</v>
      </c>
      <c r="V85" s="4">
        <v>0.94499999999999995</v>
      </c>
      <c r="W85" s="4">
        <v>0.94199999999999995</v>
      </c>
      <c r="X85" s="4">
        <v>0.94199999999999995</v>
      </c>
      <c r="Y85" s="5">
        <v>0.94899999999999995</v>
      </c>
      <c r="Z85" t="s">
        <v>376</v>
      </c>
      <c r="AA85" t="s">
        <v>504</v>
      </c>
      <c r="AB85">
        <v>138</v>
      </c>
      <c r="AD85">
        <f ca="1"/>
        <v>93</v>
      </c>
    </row>
    <row r="86" spans="1:30" x14ac:dyDescent="0.2">
      <c r="A86" s="6" t="s">
        <v>335</v>
      </c>
      <c r="B86" s="7" t="s">
        <v>336</v>
      </c>
      <c r="C86" s="8">
        <v>0.79300000000000004</v>
      </c>
      <c r="D86" s="8">
        <v>0.79400000000000004</v>
      </c>
      <c r="E86" s="8">
        <v>0.79600000000000004</v>
      </c>
      <c r="F86" s="8">
        <v>0.80100000000000005</v>
      </c>
      <c r="G86" s="8">
        <v>0.80400000000000005</v>
      </c>
      <c r="H86" s="8">
        <v>0.81100000000000005</v>
      </c>
      <c r="I86" s="8">
        <v>0.81799999999999995</v>
      </c>
      <c r="J86" s="8">
        <v>0.82699999999999996</v>
      </c>
      <c r="K86" s="8">
        <v>0.83499999999999996</v>
      </c>
      <c r="L86" s="8">
        <v>0.83299999999999996</v>
      </c>
      <c r="M86" s="8">
        <v>0.82899999999999996</v>
      </c>
      <c r="N86" s="8">
        <v>0.83</v>
      </c>
      <c r="O86" s="8">
        <v>0.84</v>
      </c>
      <c r="P86" s="8">
        <v>0.85199999999999998</v>
      </c>
      <c r="Q86" s="8">
        <v>0.85</v>
      </c>
      <c r="R86" s="8">
        <v>0.85199999999999998</v>
      </c>
      <c r="S86" s="8">
        <v>0.85299999999999998</v>
      </c>
      <c r="T86" s="8">
        <v>0.86199999999999999</v>
      </c>
      <c r="U86" s="8">
        <v>0.86599999999999999</v>
      </c>
      <c r="V86" s="8">
        <v>0.86899999999999999</v>
      </c>
      <c r="W86" s="8">
        <v>0.86299999999999999</v>
      </c>
      <c r="X86" s="8">
        <v>0.86399999999999999</v>
      </c>
      <c r="Y86" s="9">
        <v>0.875</v>
      </c>
      <c r="Z86" t="s">
        <v>376</v>
      </c>
      <c r="AA86" t="s">
        <v>505</v>
      </c>
      <c r="AB86">
        <v>144</v>
      </c>
      <c r="AD86">
        <f ca="1"/>
        <v>88</v>
      </c>
    </row>
    <row r="87" spans="1:30" x14ac:dyDescent="0.2">
      <c r="A87" s="2" t="s">
        <v>361</v>
      </c>
      <c r="B87" s="3" t="s">
        <v>362</v>
      </c>
      <c r="C87" s="4">
        <v>0.66300000000000003</v>
      </c>
      <c r="D87" s="4">
        <v>0.67700000000000005</v>
      </c>
      <c r="E87" s="4">
        <v>0.68799999999999994</v>
      </c>
      <c r="F87" s="4">
        <v>0.69799999999999995</v>
      </c>
      <c r="G87" s="4">
        <v>0.70699999999999996</v>
      </c>
      <c r="H87" s="4">
        <v>0.71499999999999997</v>
      </c>
      <c r="I87" s="4">
        <v>0.72099999999999997</v>
      </c>
      <c r="J87" s="4">
        <v>0.73199999999999998</v>
      </c>
      <c r="K87" s="4">
        <v>0.73499999999999999</v>
      </c>
      <c r="L87" s="4">
        <v>0.73799999999999999</v>
      </c>
      <c r="M87" s="4">
        <v>0.74299999999999999</v>
      </c>
      <c r="N87" s="4">
        <v>0.749</v>
      </c>
      <c r="O87" s="4">
        <v>0.752</v>
      </c>
      <c r="P87" s="4">
        <v>0.754</v>
      </c>
      <c r="Q87" s="4">
        <v>0.78500000000000003</v>
      </c>
      <c r="R87" s="4">
        <v>0.78900000000000003</v>
      </c>
      <c r="S87" s="4">
        <v>0.79300000000000004</v>
      </c>
      <c r="T87" s="4">
        <v>0.79500000000000004</v>
      </c>
      <c r="U87" s="4">
        <v>0.79600000000000004</v>
      </c>
      <c r="V87" s="4">
        <v>0.80100000000000005</v>
      </c>
      <c r="W87" s="4">
        <v>0.8</v>
      </c>
      <c r="X87" s="4">
        <v>0.79700000000000004</v>
      </c>
      <c r="Y87" s="5">
        <v>0.80300000000000005</v>
      </c>
      <c r="Z87" t="s">
        <v>376</v>
      </c>
      <c r="AA87" t="s">
        <v>505</v>
      </c>
      <c r="AB87">
        <v>146</v>
      </c>
      <c r="AD87">
        <f ca="1"/>
        <v>99</v>
      </c>
    </row>
    <row r="88" spans="1:30" x14ac:dyDescent="0.2">
      <c r="A88" s="6" t="s">
        <v>343</v>
      </c>
      <c r="B88" s="7" t="s">
        <v>344</v>
      </c>
      <c r="C88" s="8">
        <v>0.746</v>
      </c>
      <c r="D88" s="8">
        <v>0.752</v>
      </c>
      <c r="E88" s="8">
        <v>0.75600000000000001</v>
      </c>
      <c r="F88" s="8">
        <v>0.76500000000000001</v>
      </c>
      <c r="G88" s="8">
        <v>0.77500000000000002</v>
      </c>
      <c r="H88" s="8">
        <v>0.78300000000000003</v>
      </c>
      <c r="I88" s="8">
        <v>0.78500000000000003</v>
      </c>
      <c r="J88" s="8">
        <v>0.78600000000000003</v>
      </c>
      <c r="K88" s="8">
        <v>0.79400000000000004</v>
      </c>
      <c r="L88" s="8">
        <v>0.79800000000000004</v>
      </c>
      <c r="M88" s="8">
        <v>0.80500000000000005</v>
      </c>
      <c r="N88" s="8">
        <v>0.81599999999999995</v>
      </c>
      <c r="O88" s="8">
        <v>0.82399999999999995</v>
      </c>
      <c r="P88" s="8">
        <v>0.83099999999999996</v>
      </c>
      <c r="Q88" s="8">
        <v>0.83599999999999997</v>
      </c>
      <c r="R88" s="8">
        <v>0.84199999999999997</v>
      </c>
      <c r="S88" s="8">
        <v>0.84599999999999997</v>
      </c>
      <c r="T88" s="8">
        <v>0.84899999999999998</v>
      </c>
      <c r="U88" s="8">
        <v>0.85599999999999998</v>
      </c>
      <c r="V88" s="8">
        <v>0.86199999999999999</v>
      </c>
      <c r="W88" s="8">
        <v>0.86099999999999999</v>
      </c>
      <c r="X88" s="8">
        <v>0.86699999999999999</v>
      </c>
      <c r="Y88" s="9">
        <v>0.875</v>
      </c>
      <c r="Z88" t="s">
        <v>376</v>
      </c>
      <c r="AA88" t="s">
        <v>505</v>
      </c>
      <c r="AB88">
        <v>152</v>
      </c>
      <c r="AD88">
        <f ca="1"/>
        <v>3</v>
      </c>
    </row>
    <row r="89" spans="1:30" x14ac:dyDescent="0.2">
      <c r="A89" s="6" t="s">
        <v>63</v>
      </c>
      <c r="B89" s="7" t="s">
        <v>64</v>
      </c>
      <c r="C89" s="8">
        <v>0.59699999999999998</v>
      </c>
      <c r="D89" s="8">
        <v>0.60499999999999998</v>
      </c>
      <c r="E89" s="8">
        <v>0.61399999999999999</v>
      </c>
      <c r="F89" s="8">
        <v>0.622</v>
      </c>
      <c r="G89" s="8">
        <v>0.621</v>
      </c>
      <c r="H89" s="8">
        <v>0.63400000000000001</v>
      </c>
      <c r="I89" s="8">
        <v>0.64300000000000002</v>
      </c>
      <c r="J89" s="8">
        <v>0.64600000000000002</v>
      </c>
      <c r="K89" s="8">
        <v>0.64900000000000002</v>
      </c>
      <c r="L89" s="8">
        <v>0.66</v>
      </c>
      <c r="M89" s="8">
        <v>0.66700000000000004</v>
      </c>
      <c r="N89" s="8">
        <v>0.67400000000000004</v>
      </c>
      <c r="O89" s="8">
        <v>0.68200000000000005</v>
      </c>
      <c r="P89" s="8">
        <v>0.68700000000000006</v>
      </c>
      <c r="Q89" s="8">
        <v>0.69</v>
      </c>
      <c r="R89" s="8">
        <v>0.69799999999999995</v>
      </c>
      <c r="S89" s="8">
        <v>0.70099999999999996</v>
      </c>
      <c r="T89" s="8">
        <v>0.70799999999999996</v>
      </c>
      <c r="U89" s="8">
        <v>0.71199999999999997</v>
      </c>
      <c r="V89" s="8">
        <v>0.71799999999999997</v>
      </c>
      <c r="W89" s="8">
        <v>0.71199999999999997</v>
      </c>
      <c r="X89" s="8">
        <v>0.70699999999999996</v>
      </c>
      <c r="Y89" s="9">
        <v>0.71299999999999997</v>
      </c>
      <c r="Z89" t="s">
        <v>376</v>
      </c>
      <c r="AA89" t="s">
        <v>505</v>
      </c>
      <c r="AB89">
        <v>155</v>
      </c>
      <c r="AD89">
        <f ca="1"/>
        <v>166</v>
      </c>
    </row>
    <row r="90" spans="1:30" x14ac:dyDescent="0.2">
      <c r="A90" s="6" t="s">
        <v>83</v>
      </c>
      <c r="B90" s="7" t="s">
        <v>84</v>
      </c>
      <c r="C90" s="8">
        <v>0.59499999999999997</v>
      </c>
      <c r="D90" s="8">
        <v>0.60599999999999998</v>
      </c>
      <c r="E90" s="8">
        <v>0.61499999999999999</v>
      </c>
      <c r="F90" s="8">
        <v>0.629</v>
      </c>
      <c r="G90" s="8">
        <v>0.64600000000000002</v>
      </c>
      <c r="H90" s="8">
        <v>0.65800000000000003</v>
      </c>
      <c r="I90" s="8">
        <v>0.66900000000000004</v>
      </c>
      <c r="J90" s="8">
        <v>0.68</v>
      </c>
      <c r="K90" s="8">
        <v>0.69</v>
      </c>
      <c r="L90" s="8">
        <v>0.69399999999999995</v>
      </c>
      <c r="M90" s="8">
        <v>0.7</v>
      </c>
      <c r="N90" s="8">
        <v>0.71</v>
      </c>
      <c r="O90" s="8">
        <v>0.72</v>
      </c>
      <c r="P90" s="8">
        <v>0.73</v>
      </c>
      <c r="Q90" s="8">
        <v>0.73499999999999999</v>
      </c>
      <c r="R90" s="8">
        <v>0.73899999999999999</v>
      </c>
      <c r="S90" s="8">
        <v>0.74099999999999999</v>
      </c>
      <c r="T90" s="8">
        <v>0.74199999999999999</v>
      </c>
      <c r="U90" s="8">
        <v>0.754</v>
      </c>
      <c r="V90" s="8">
        <v>0.749</v>
      </c>
      <c r="W90" s="8">
        <v>0.74</v>
      </c>
      <c r="X90" s="8">
        <v>0.73</v>
      </c>
      <c r="Y90" s="9">
        <v>0.74099999999999999</v>
      </c>
      <c r="Z90" t="s">
        <v>376</v>
      </c>
      <c r="AA90" t="s">
        <v>505</v>
      </c>
      <c r="AB90">
        <v>156</v>
      </c>
      <c r="AD90">
        <f ca="1"/>
        <v>67</v>
      </c>
    </row>
    <row r="91" spans="1:30" x14ac:dyDescent="0.2">
      <c r="A91" s="2" t="s">
        <v>113</v>
      </c>
      <c r="B91" s="3" t="s">
        <v>114</v>
      </c>
      <c r="C91" s="4">
        <v>0.59899999999999998</v>
      </c>
      <c r="D91" s="4">
        <v>0.60899999999999999</v>
      </c>
      <c r="E91" s="4">
        <v>0.61899999999999999</v>
      </c>
      <c r="F91" s="4">
        <v>0.628</v>
      </c>
      <c r="G91" s="4">
        <v>0.63700000000000001</v>
      </c>
      <c r="H91" s="4">
        <v>0.64500000000000002</v>
      </c>
      <c r="I91" s="4">
        <v>0.65300000000000002</v>
      </c>
      <c r="J91" s="4">
        <v>0.66</v>
      </c>
      <c r="K91" s="4">
        <v>0.66500000000000004</v>
      </c>
      <c r="L91" s="4">
        <v>0.67100000000000004</v>
      </c>
      <c r="M91" s="4">
        <v>0.67600000000000005</v>
      </c>
      <c r="N91" s="4">
        <v>0.68100000000000005</v>
      </c>
      <c r="O91" s="4">
        <v>0.68400000000000005</v>
      </c>
      <c r="P91" s="4">
        <v>0.68899999999999995</v>
      </c>
      <c r="Q91" s="4">
        <v>0.69299999999999995</v>
      </c>
      <c r="R91" s="4">
        <v>0.69699999999999995</v>
      </c>
      <c r="S91" s="4">
        <v>0.70199999999999996</v>
      </c>
      <c r="T91" s="4">
        <v>0.70599999999999996</v>
      </c>
      <c r="U91" s="4">
        <v>0.71099999999999997</v>
      </c>
      <c r="V91" s="4">
        <v>0.71699999999999997</v>
      </c>
      <c r="W91" s="4">
        <v>0.72599999999999998</v>
      </c>
      <c r="X91" s="4">
        <v>0.71799999999999997</v>
      </c>
      <c r="Y91" s="5">
        <v>0.72599999999999998</v>
      </c>
      <c r="Z91" t="s">
        <v>376</v>
      </c>
      <c r="AA91" t="s">
        <v>505</v>
      </c>
      <c r="AB91">
        <v>160</v>
      </c>
      <c r="AD91">
        <f ca="1"/>
        <v>78</v>
      </c>
    </row>
    <row r="92" spans="1:30" x14ac:dyDescent="0.2">
      <c r="A92" s="2" t="s">
        <v>233</v>
      </c>
      <c r="B92" s="3" t="s">
        <v>234</v>
      </c>
      <c r="C92" s="4">
        <v>0.495</v>
      </c>
      <c r="D92" s="4">
        <v>0.50900000000000001</v>
      </c>
      <c r="E92" s="4">
        <v>0.52200000000000002</v>
      </c>
      <c r="F92" s="4">
        <v>0.52200000000000002</v>
      </c>
      <c r="G92" s="4">
        <v>0.53600000000000003</v>
      </c>
      <c r="H92" s="4">
        <v>0.55300000000000005</v>
      </c>
      <c r="I92" s="4">
        <v>0.57899999999999996</v>
      </c>
      <c r="J92" s="4">
        <v>0.60099999999999998</v>
      </c>
      <c r="K92" s="4">
        <v>0.627</v>
      </c>
      <c r="L92" s="4">
        <v>0.625</v>
      </c>
      <c r="M92" s="4">
        <v>0.63900000000000001</v>
      </c>
      <c r="N92" s="4">
        <v>0.64900000000000002</v>
      </c>
      <c r="O92" s="4">
        <v>0.64400000000000002</v>
      </c>
      <c r="P92" s="4">
        <v>0.64</v>
      </c>
      <c r="Q92" s="4">
        <v>0.63</v>
      </c>
      <c r="R92" s="4">
        <v>0.621</v>
      </c>
      <c r="S92" s="4">
        <v>0.61</v>
      </c>
      <c r="T92" s="4">
        <v>0.61399999999999999</v>
      </c>
      <c r="U92" s="4">
        <v>0.61599999999999999</v>
      </c>
      <c r="V92" s="4">
        <v>0.627</v>
      </c>
      <c r="W92" s="4">
        <v>0.63300000000000001</v>
      </c>
      <c r="X92" s="4">
        <v>0.57399999999999995</v>
      </c>
      <c r="Y92" s="5">
        <v>0.56599999999999995</v>
      </c>
      <c r="Z92" t="s">
        <v>376</v>
      </c>
      <c r="AA92" t="s">
        <v>505</v>
      </c>
      <c r="AB92">
        <v>169</v>
      </c>
      <c r="AD92">
        <f ca="1"/>
        <v>89</v>
      </c>
    </row>
    <row r="93" spans="1:30" x14ac:dyDescent="0.2">
      <c r="A93" s="2" t="s">
        <v>61</v>
      </c>
      <c r="B93" s="3" t="s">
        <v>62</v>
      </c>
      <c r="C93" s="4">
        <v>0.58599999999999997</v>
      </c>
      <c r="D93" s="4">
        <v>0.59699999999999998</v>
      </c>
      <c r="E93" s="4">
        <v>0.60799999999999998</v>
      </c>
      <c r="F93" s="4">
        <v>0.61899999999999999</v>
      </c>
      <c r="G93" s="4">
        <v>0.63100000000000001</v>
      </c>
      <c r="H93" s="4">
        <v>0.64300000000000002</v>
      </c>
      <c r="I93" s="4">
        <v>0.65600000000000003</v>
      </c>
      <c r="J93" s="4">
        <v>0.66800000000000004</v>
      </c>
      <c r="K93" s="4">
        <v>0.67800000000000005</v>
      </c>
      <c r="L93" s="4">
        <v>0.68899999999999995</v>
      </c>
      <c r="M93" s="4">
        <v>0.69799999999999995</v>
      </c>
      <c r="N93" s="4">
        <v>0.70599999999999996</v>
      </c>
      <c r="O93" s="4">
        <v>0.71499999999999997</v>
      </c>
      <c r="P93" s="4">
        <v>0.72299999999999998</v>
      </c>
      <c r="Q93" s="4">
        <v>0.73199999999999998</v>
      </c>
      <c r="R93" s="4">
        <v>0.74099999999999999</v>
      </c>
      <c r="S93" s="4">
        <v>0.749</v>
      </c>
      <c r="T93" s="4">
        <v>0.75700000000000001</v>
      </c>
      <c r="U93" s="4">
        <v>0.76600000000000001</v>
      </c>
      <c r="V93" s="4">
        <v>0.77500000000000002</v>
      </c>
      <c r="W93" s="4">
        <v>0.78100000000000003</v>
      </c>
      <c r="X93" s="4">
        <v>0.78500000000000003</v>
      </c>
      <c r="Y93" s="5">
        <v>0.78800000000000003</v>
      </c>
      <c r="Z93" t="s">
        <v>376</v>
      </c>
      <c r="AA93" t="s">
        <v>505</v>
      </c>
      <c r="AB93">
        <v>172</v>
      </c>
      <c r="AD93">
        <f ca="1"/>
        <v>35</v>
      </c>
    </row>
    <row r="94" spans="1:30" x14ac:dyDescent="0.2">
      <c r="A94" s="6" t="s">
        <v>247</v>
      </c>
      <c r="B94" s="7" t="s">
        <v>248</v>
      </c>
      <c r="C94" s="8">
        <v>0.89600000000000002</v>
      </c>
      <c r="D94" s="8">
        <v>0.9</v>
      </c>
      <c r="E94" s="8">
        <v>0.90200000000000002</v>
      </c>
      <c r="F94" s="8">
        <v>0.90600000000000003</v>
      </c>
      <c r="G94" s="8">
        <v>0.90800000000000003</v>
      </c>
      <c r="H94" s="8">
        <v>0.91100000000000003</v>
      </c>
      <c r="I94" s="8">
        <v>0.91400000000000003</v>
      </c>
      <c r="J94" s="8">
        <v>0.91600000000000004</v>
      </c>
      <c r="K94" s="8">
        <v>0.92</v>
      </c>
      <c r="L94" s="8">
        <v>0.92200000000000004</v>
      </c>
      <c r="M94" s="8">
        <v>0.92400000000000004</v>
      </c>
      <c r="N94" s="8">
        <v>0.92700000000000005</v>
      </c>
      <c r="O94" s="8">
        <v>0.93100000000000005</v>
      </c>
      <c r="P94" s="8">
        <v>0.92900000000000005</v>
      </c>
      <c r="Q94" s="8">
        <v>0.93100000000000005</v>
      </c>
      <c r="R94" s="8">
        <v>0.93300000000000005</v>
      </c>
      <c r="S94" s="8">
        <v>0.93600000000000005</v>
      </c>
      <c r="T94" s="8">
        <v>0.93700000000000006</v>
      </c>
      <c r="U94" s="8">
        <v>0.94099999999999995</v>
      </c>
      <c r="V94" s="8">
        <v>0.94099999999999995</v>
      </c>
      <c r="W94" s="8">
        <v>0.94799999999999995</v>
      </c>
      <c r="X94" s="8">
        <v>0.94899999999999995</v>
      </c>
      <c r="Y94" s="9">
        <v>0.94599999999999995</v>
      </c>
      <c r="Z94" t="s">
        <v>248</v>
      </c>
      <c r="AA94" t="s">
        <v>504</v>
      </c>
      <c r="AB94">
        <v>36</v>
      </c>
      <c r="AD94">
        <f ca="1"/>
        <v>106</v>
      </c>
    </row>
    <row r="95" spans="1:30" x14ac:dyDescent="0.2">
      <c r="A95" s="6" t="s">
        <v>355</v>
      </c>
      <c r="B95" s="7" t="s">
        <v>356</v>
      </c>
      <c r="C95" s="8">
        <v>0.82799999999999996</v>
      </c>
      <c r="D95" s="8">
        <v>0.83299999999999996</v>
      </c>
      <c r="E95" s="8">
        <v>0.83799999999999997</v>
      </c>
      <c r="F95" s="8">
        <v>0.84</v>
      </c>
      <c r="G95" s="8">
        <v>0.84599999999999997</v>
      </c>
      <c r="H95" s="8">
        <v>0.85099999999999998</v>
      </c>
      <c r="I95" s="8">
        <v>0.85599999999999998</v>
      </c>
      <c r="J95" s="8">
        <v>0.85699999999999998</v>
      </c>
      <c r="K95" s="8">
        <v>0.85799999999999998</v>
      </c>
      <c r="L95" s="8">
        <v>0.86</v>
      </c>
      <c r="M95" s="8">
        <v>0.86799999999999999</v>
      </c>
      <c r="N95" s="8">
        <v>0.873</v>
      </c>
      <c r="O95" s="8">
        <v>0.875</v>
      </c>
      <c r="P95" s="8">
        <v>0.88</v>
      </c>
      <c r="Q95" s="8">
        <v>0.88400000000000001</v>
      </c>
      <c r="R95" s="8">
        <v>0.88900000000000001</v>
      </c>
      <c r="S95" s="8">
        <v>0.89400000000000002</v>
      </c>
      <c r="T95" s="8">
        <v>0.89600000000000002</v>
      </c>
      <c r="U95" s="8">
        <v>0.89900000000000002</v>
      </c>
      <c r="V95" s="8">
        <v>0.90400000000000003</v>
      </c>
      <c r="W95" s="8">
        <v>0.89400000000000002</v>
      </c>
      <c r="X95" s="8">
        <v>0.90400000000000003</v>
      </c>
      <c r="Y95" s="9">
        <v>0.91100000000000003</v>
      </c>
      <c r="Z95" t="s">
        <v>379</v>
      </c>
      <c r="AA95" t="s">
        <v>504</v>
      </c>
      <c r="AB95">
        <v>11</v>
      </c>
      <c r="AD95">
        <f ca="1"/>
        <v>53</v>
      </c>
    </row>
    <row r="96" spans="1:30" x14ac:dyDescent="0.2">
      <c r="A96" s="2" t="s">
        <v>313</v>
      </c>
      <c r="B96" s="3" t="s">
        <v>314</v>
      </c>
      <c r="C96" s="4">
        <v>0.76900000000000002</v>
      </c>
      <c r="D96" s="4">
        <v>0.77900000000000003</v>
      </c>
      <c r="E96" s="4">
        <v>0.79100000000000004</v>
      </c>
      <c r="F96" s="4">
        <v>0.80500000000000005</v>
      </c>
      <c r="G96" s="4">
        <v>0.81299999999999994</v>
      </c>
      <c r="H96" s="4">
        <v>0.82099999999999995</v>
      </c>
      <c r="I96" s="4">
        <v>0.82799999999999996</v>
      </c>
      <c r="J96" s="4">
        <v>0.83499999999999996</v>
      </c>
      <c r="K96" s="4">
        <v>0.84299999999999997</v>
      </c>
      <c r="L96" s="4">
        <v>0.84299999999999997</v>
      </c>
      <c r="M96" s="4">
        <v>0.84599999999999997</v>
      </c>
      <c r="N96" s="4">
        <v>0.85299999999999998</v>
      </c>
      <c r="O96" s="4">
        <v>0.85499999999999998</v>
      </c>
      <c r="P96" s="4">
        <v>0.85799999999999998</v>
      </c>
      <c r="Q96" s="4">
        <v>0.86399999999999999</v>
      </c>
      <c r="R96" s="4">
        <v>0.86499999999999999</v>
      </c>
      <c r="S96" s="4">
        <v>0.87</v>
      </c>
      <c r="T96" s="4">
        <v>0.878</v>
      </c>
      <c r="U96" s="4">
        <v>0.88200000000000001</v>
      </c>
      <c r="V96" s="4">
        <v>0.88600000000000001</v>
      </c>
      <c r="W96" s="4">
        <v>0.88</v>
      </c>
      <c r="X96" s="4">
        <v>0.875</v>
      </c>
      <c r="Y96" s="5">
        <v>0.879</v>
      </c>
      <c r="Z96" t="s">
        <v>379</v>
      </c>
      <c r="AA96" t="s">
        <v>504</v>
      </c>
      <c r="AB96">
        <v>15</v>
      </c>
      <c r="AD96">
        <f ca="1"/>
        <v>118</v>
      </c>
    </row>
    <row r="97" spans="1:30" x14ac:dyDescent="0.2">
      <c r="A97" s="6" t="s">
        <v>299</v>
      </c>
      <c r="B97" s="7" t="s">
        <v>300</v>
      </c>
      <c r="C97" s="8">
        <v>0.84199999999999997</v>
      </c>
      <c r="D97" s="8">
        <v>0.84899999999999998</v>
      </c>
      <c r="E97" s="8">
        <v>0.85399999999999998</v>
      </c>
      <c r="F97" s="8">
        <v>0.85799999999999998</v>
      </c>
      <c r="G97" s="8">
        <v>0.86599999999999999</v>
      </c>
      <c r="H97" s="8">
        <v>0.86899999999999999</v>
      </c>
      <c r="I97" s="8">
        <v>0.874</v>
      </c>
      <c r="J97" s="8">
        <v>0.878</v>
      </c>
      <c r="K97" s="8">
        <v>0.878</v>
      </c>
      <c r="L97" s="8">
        <v>0.877</v>
      </c>
      <c r="M97" s="8">
        <v>0.88</v>
      </c>
      <c r="N97" s="8">
        <v>0.88300000000000001</v>
      </c>
      <c r="O97" s="8">
        <v>0.88100000000000001</v>
      </c>
      <c r="P97" s="8">
        <v>0.88</v>
      </c>
      <c r="Q97" s="8">
        <v>0.88200000000000001</v>
      </c>
      <c r="R97" s="8">
        <v>0.88100000000000001</v>
      </c>
      <c r="S97" s="8">
        <v>0.88600000000000001</v>
      </c>
      <c r="T97" s="8">
        <v>0.88900000000000001</v>
      </c>
      <c r="U97" s="8">
        <v>0.89400000000000002</v>
      </c>
      <c r="V97" s="8">
        <v>0.89900000000000002</v>
      </c>
      <c r="W97" s="8">
        <v>0.89200000000000002</v>
      </c>
      <c r="X97" s="8">
        <v>0.89900000000000002</v>
      </c>
      <c r="Y97" s="9">
        <v>0.90600000000000003</v>
      </c>
      <c r="Z97" t="s">
        <v>379</v>
      </c>
      <c r="AA97" t="s">
        <v>504</v>
      </c>
      <c r="AB97">
        <v>16</v>
      </c>
      <c r="AD97">
        <f ca="1"/>
        <v>18</v>
      </c>
    </row>
    <row r="98" spans="1:30" x14ac:dyDescent="0.2">
      <c r="A98" s="2" t="s">
        <v>293</v>
      </c>
      <c r="B98" s="3" t="s">
        <v>294</v>
      </c>
      <c r="C98" s="4">
        <v>0.89500000000000002</v>
      </c>
      <c r="D98" s="4">
        <v>0.90200000000000002</v>
      </c>
      <c r="E98" s="4">
        <v>0.90900000000000003</v>
      </c>
      <c r="F98" s="4">
        <v>0.91600000000000004</v>
      </c>
      <c r="G98" s="4">
        <v>0.92</v>
      </c>
      <c r="H98" s="4">
        <v>0.92600000000000005</v>
      </c>
      <c r="I98" s="4">
        <v>0.92800000000000005</v>
      </c>
      <c r="J98" s="4">
        <v>0.93300000000000005</v>
      </c>
      <c r="K98" s="4">
        <v>0.92700000000000005</v>
      </c>
      <c r="L98" s="4">
        <v>0.92500000000000004</v>
      </c>
      <c r="M98" s="4">
        <v>0.92700000000000005</v>
      </c>
      <c r="N98" s="4">
        <v>0.93300000000000005</v>
      </c>
      <c r="O98" s="4">
        <v>0.93799999999999994</v>
      </c>
      <c r="P98" s="4">
        <v>0.94199999999999995</v>
      </c>
      <c r="Q98" s="4">
        <v>0.94599999999999995</v>
      </c>
      <c r="R98" s="4">
        <v>0.94799999999999995</v>
      </c>
      <c r="S98" s="4">
        <v>0.95099999999999996</v>
      </c>
      <c r="T98" s="4">
        <v>0.95499999999999996</v>
      </c>
      <c r="U98" s="4">
        <v>0.95799999999999996</v>
      </c>
      <c r="V98" s="4">
        <v>0.95799999999999996</v>
      </c>
      <c r="W98" s="4">
        <v>0.95499999999999996</v>
      </c>
      <c r="X98" s="4">
        <v>0.95699999999999996</v>
      </c>
      <c r="Y98" s="5">
        <v>0.95899999999999996</v>
      </c>
      <c r="Z98" t="s">
        <v>379</v>
      </c>
      <c r="AA98" t="s">
        <v>504</v>
      </c>
      <c r="AB98">
        <v>20</v>
      </c>
      <c r="AD98">
        <f ca="1"/>
        <v>174</v>
      </c>
    </row>
    <row r="99" spans="1:30" x14ac:dyDescent="0.2">
      <c r="A99" s="2" t="s">
        <v>321</v>
      </c>
      <c r="B99" s="3" t="s">
        <v>322</v>
      </c>
      <c r="C99" s="4">
        <v>0.89200000000000002</v>
      </c>
      <c r="D99" s="4">
        <v>0.89300000000000002</v>
      </c>
      <c r="E99" s="4">
        <v>0.89</v>
      </c>
      <c r="F99" s="4">
        <v>0.89300000000000002</v>
      </c>
      <c r="G99" s="4">
        <v>0.89600000000000002</v>
      </c>
      <c r="H99" s="4">
        <v>0.89900000000000002</v>
      </c>
      <c r="I99" s="4">
        <v>0.90500000000000003</v>
      </c>
      <c r="J99" s="4">
        <v>0.91100000000000003</v>
      </c>
      <c r="K99" s="4">
        <v>0.91100000000000003</v>
      </c>
      <c r="L99" s="4">
        <v>0.91200000000000003</v>
      </c>
      <c r="M99" s="4">
        <v>0.91700000000000004</v>
      </c>
      <c r="N99" s="4">
        <v>0.92700000000000005</v>
      </c>
      <c r="O99" s="4">
        <v>0.92700000000000005</v>
      </c>
      <c r="P99" s="4">
        <v>0.92900000000000005</v>
      </c>
      <c r="Q99" s="4">
        <v>0.93100000000000005</v>
      </c>
      <c r="R99" s="4">
        <v>0.93200000000000005</v>
      </c>
      <c r="S99" s="4">
        <v>0.93300000000000005</v>
      </c>
      <c r="T99" s="4">
        <v>0.93600000000000005</v>
      </c>
      <c r="U99" s="4">
        <v>0.93899999999999995</v>
      </c>
      <c r="V99" s="4">
        <v>0.94099999999999995</v>
      </c>
      <c r="W99" s="4">
        <v>0.93799999999999994</v>
      </c>
      <c r="X99" s="4">
        <v>0.94099999999999995</v>
      </c>
      <c r="Y99" s="5">
        <v>0.94599999999999995</v>
      </c>
      <c r="Z99" t="s">
        <v>379</v>
      </c>
      <c r="AA99" t="s">
        <v>505</v>
      </c>
      <c r="AB99">
        <v>35</v>
      </c>
      <c r="AD99">
        <f ca="1"/>
        <v>49</v>
      </c>
    </row>
    <row r="100" spans="1:30" x14ac:dyDescent="0.2">
      <c r="A100" s="6" t="s">
        <v>279</v>
      </c>
      <c r="B100" s="7" t="s">
        <v>280</v>
      </c>
      <c r="C100" s="8">
        <v>0.84399999999999997</v>
      </c>
      <c r="D100" s="8">
        <v>0.84699999999999998</v>
      </c>
      <c r="E100" s="8">
        <v>0.85</v>
      </c>
      <c r="F100" s="8">
        <v>0.85299999999999998</v>
      </c>
      <c r="G100" s="8">
        <v>0.86099999999999999</v>
      </c>
      <c r="H100" s="8">
        <v>0.86899999999999999</v>
      </c>
      <c r="I100" s="8">
        <v>0.873</v>
      </c>
      <c r="J100" s="8">
        <v>0.876</v>
      </c>
      <c r="K100" s="8">
        <v>0.877</v>
      </c>
      <c r="L100" s="8">
        <v>0.875</v>
      </c>
      <c r="M100" s="8">
        <v>0.88</v>
      </c>
      <c r="N100" s="8">
        <v>0.88400000000000001</v>
      </c>
      <c r="O100" s="8">
        <v>0.88500000000000001</v>
      </c>
      <c r="P100" s="8">
        <v>0.88800000000000001</v>
      </c>
      <c r="Q100" s="8">
        <v>0.89200000000000002</v>
      </c>
      <c r="R100" s="8">
        <v>0.89300000000000002</v>
      </c>
      <c r="S100" s="8">
        <v>0.89600000000000002</v>
      </c>
      <c r="T100" s="8">
        <v>0.89900000000000002</v>
      </c>
      <c r="U100" s="8">
        <v>0.90300000000000002</v>
      </c>
      <c r="V100" s="8">
        <v>0.90500000000000003</v>
      </c>
      <c r="W100" s="8">
        <v>0.9</v>
      </c>
      <c r="X100" s="8">
        <v>0.90600000000000003</v>
      </c>
      <c r="Y100" s="9">
        <v>0.91</v>
      </c>
      <c r="Z100" t="s">
        <v>379</v>
      </c>
      <c r="AA100" t="s">
        <v>504</v>
      </c>
      <c r="AB100">
        <v>39</v>
      </c>
      <c r="AD100">
        <f ca="1"/>
        <v>117</v>
      </c>
    </row>
    <row r="101" spans="1:30" x14ac:dyDescent="0.2">
      <c r="A101" s="2" t="s">
        <v>41</v>
      </c>
      <c r="B101" s="3" t="s">
        <v>42</v>
      </c>
      <c r="C101" s="4">
        <v>0.72299999999999998</v>
      </c>
      <c r="D101" s="4">
        <v>0.73199999999999998</v>
      </c>
      <c r="E101" s="4">
        <v>0.74299999999999999</v>
      </c>
      <c r="F101" s="4">
        <v>0.753</v>
      </c>
      <c r="G101" s="4">
        <v>0.76</v>
      </c>
      <c r="H101" s="4">
        <v>0.76500000000000001</v>
      </c>
      <c r="I101" s="4">
        <v>0.77</v>
      </c>
      <c r="J101" s="4">
        <v>0.77600000000000002</v>
      </c>
      <c r="K101" s="4">
        <v>0.78200000000000003</v>
      </c>
      <c r="L101" s="4">
        <v>0.78400000000000003</v>
      </c>
      <c r="M101" s="4">
        <v>0.79</v>
      </c>
      <c r="N101" s="4">
        <v>0.79400000000000004</v>
      </c>
      <c r="O101" s="4">
        <v>0.79800000000000004</v>
      </c>
      <c r="P101" s="4">
        <v>0.80400000000000005</v>
      </c>
      <c r="Q101" s="4">
        <v>0.80700000000000005</v>
      </c>
      <c r="R101" s="4">
        <v>0.80900000000000005</v>
      </c>
      <c r="S101" s="4">
        <v>0.81</v>
      </c>
      <c r="T101" s="4">
        <v>0.81</v>
      </c>
      <c r="U101" s="4">
        <v>0.81100000000000005</v>
      </c>
      <c r="V101" s="4">
        <v>0.81299999999999994</v>
      </c>
      <c r="W101" s="4">
        <v>0.80200000000000005</v>
      </c>
      <c r="X101" s="4">
        <v>0.79600000000000004</v>
      </c>
      <c r="Y101" s="5">
        <v>0.79900000000000004</v>
      </c>
      <c r="Z101" t="s">
        <v>379</v>
      </c>
      <c r="AA101" t="s">
        <v>505</v>
      </c>
      <c r="AB101">
        <v>41</v>
      </c>
      <c r="AD101">
        <f ca="1"/>
        <v>145</v>
      </c>
    </row>
    <row r="102" spans="1:30" x14ac:dyDescent="0.2">
      <c r="A102" s="6" t="s">
        <v>331</v>
      </c>
      <c r="B102" s="7" t="s">
        <v>332</v>
      </c>
      <c r="C102" s="8">
        <v>0.79400000000000004</v>
      </c>
      <c r="D102" s="8">
        <v>0.80200000000000005</v>
      </c>
      <c r="E102" s="8">
        <v>0.80900000000000005</v>
      </c>
      <c r="F102" s="8">
        <v>0.81399999999999995</v>
      </c>
      <c r="G102" s="8">
        <v>0.81200000000000006</v>
      </c>
      <c r="H102" s="8">
        <v>0.81899999999999995</v>
      </c>
      <c r="I102" s="8">
        <v>0.82399999999999995</v>
      </c>
      <c r="J102" s="8">
        <v>0.82799999999999996</v>
      </c>
      <c r="K102" s="8">
        <v>0.83399999999999996</v>
      </c>
      <c r="L102" s="8">
        <v>0.83799999999999997</v>
      </c>
      <c r="M102" s="8">
        <v>0.84499999999999997</v>
      </c>
      <c r="N102" s="8">
        <v>0.85099999999999998</v>
      </c>
      <c r="O102" s="8">
        <v>0.85499999999999998</v>
      </c>
      <c r="P102" s="8">
        <v>0.86499999999999999</v>
      </c>
      <c r="Q102" s="8">
        <v>0.86699999999999999</v>
      </c>
      <c r="R102" s="8">
        <v>0.86899999999999999</v>
      </c>
      <c r="S102" s="8">
        <v>0.872</v>
      </c>
      <c r="T102" s="8">
        <v>0.874</v>
      </c>
      <c r="U102" s="8">
        <v>0.876</v>
      </c>
      <c r="V102" s="8">
        <v>0.88</v>
      </c>
      <c r="W102" s="8">
        <v>0.874</v>
      </c>
      <c r="X102" s="8">
        <v>0.876</v>
      </c>
      <c r="Y102" s="9">
        <v>0.88100000000000001</v>
      </c>
      <c r="Z102" t="s">
        <v>379</v>
      </c>
      <c r="AA102" t="s">
        <v>505</v>
      </c>
      <c r="AB102">
        <v>43</v>
      </c>
      <c r="AD102">
        <f ca="1"/>
        <v>153</v>
      </c>
    </row>
    <row r="103" spans="1:30" x14ac:dyDescent="0.2">
      <c r="A103" s="2" t="s">
        <v>325</v>
      </c>
      <c r="B103" s="3" t="s">
        <v>326</v>
      </c>
      <c r="C103" s="4">
        <v>0.91400000000000003</v>
      </c>
      <c r="D103" s="4">
        <v>0.91300000000000003</v>
      </c>
      <c r="E103" s="4">
        <v>0.91500000000000004</v>
      </c>
      <c r="F103" s="4">
        <v>0.92300000000000004</v>
      </c>
      <c r="G103" s="4">
        <v>0.92900000000000005</v>
      </c>
      <c r="H103" s="4">
        <v>0.93</v>
      </c>
      <c r="I103" s="4">
        <v>0.93400000000000005</v>
      </c>
      <c r="J103" s="4">
        <v>0.93600000000000005</v>
      </c>
      <c r="K103" s="4">
        <v>0.93500000000000005</v>
      </c>
      <c r="L103" s="4">
        <v>0.93500000000000005</v>
      </c>
      <c r="M103" s="4">
        <v>0.93799999999999994</v>
      </c>
      <c r="N103" s="4">
        <v>0.94</v>
      </c>
      <c r="O103" s="4">
        <v>0.94099999999999995</v>
      </c>
      <c r="P103" s="4">
        <v>0.94499999999999995</v>
      </c>
      <c r="Q103" s="4">
        <v>0.94899999999999995</v>
      </c>
      <c r="R103" s="4">
        <v>0.95199999999999996</v>
      </c>
      <c r="S103" s="4">
        <v>0.95599999999999996</v>
      </c>
      <c r="T103" s="4">
        <v>0.95899999999999996</v>
      </c>
      <c r="U103" s="4">
        <v>0.96</v>
      </c>
      <c r="V103" s="4">
        <v>0.96099999999999997</v>
      </c>
      <c r="W103" s="4">
        <v>0.96299999999999997</v>
      </c>
      <c r="X103" s="4">
        <v>0.96399999999999997</v>
      </c>
      <c r="Y103" s="5">
        <v>0.96599999999999997</v>
      </c>
      <c r="Z103" t="s">
        <v>379</v>
      </c>
      <c r="AA103" t="s">
        <v>504</v>
      </c>
      <c r="AB103">
        <v>51</v>
      </c>
      <c r="AD103">
        <f ca="1"/>
        <v>19</v>
      </c>
    </row>
    <row r="104" spans="1:30" x14ac:dyDescent="0.2">
      <c r="A104" s="6" t="s">
        <v>351</v>
      </c>
      <c r="B104" s="7" t="s">
        <v>352</v>
      </c>
      <c r="C104" s="8">
        <v>0.76100000000000001</v>
      </c>
      <c r="D104" s="8">
        <v>0.76800000000000002</v>
      </c>
      <c r="E104" s="8">
        <v>0.77700000000000002</v>
      </c>
      <c r="F104" s="8">
        <v>0.78300000000000003</v>
      </c>
      <c r="G104" s="8">
        <v>0.79300000000000004</v>
      </c>
      <c r="H104" s="8">
        <v>0.80200000000000005</v>
      </c>
      <c r="I104" s="8">
        <v>0.81200000000000006</v>
      </c>
      <c r="J104" s="8">
        <v>0.82199999999999995</v>
      </c>
      <c r="K104" s="8">
        <v>0.83099999999999996</v>
      </c>
      <c r="L104" s="8">
        <v>0.83399999999999996</v>
      </c>
      <c r="M104" s="8">
        <v>0.84099999999999997</v>
      </c>
      <c r="N104" s="8">
        <v>0.84599999999999997</v>
      </c>
      <c r="O104" s="8">
        <v>0.84599999999999997</v>
      </c>
      <c r="P104" s="8">
        <v>0.84899999999999998</v>
      </c>
      <c r="Q104" s="8">
        <v>0.85099999999999998</v>
      </c>
      <c r="R104" s="8">
        <v>0.85199999999999998</v>
      </c>
      <c r="S104" s="8">
        <v>0.85499999999999998</v>
      </c>
      <c r="T104" s="8">
        <v>0.85699999999999998</v>
      </c>
      <c r="U104" s="8">
        <v>0.86</v>
      </c>
      <c r="V104" s="8">
        <v>0.86299999999999999</v>
      </c>
      <c r="W104" s="8">
        <v>0.86</v>
      </c>
      <c r="X104" s="8">
        <v>0.85199999999999998</v>
      </c>
      <c r="Y104" s="9">
        <v>0.85499999999999998</v>
      </c>
      <c r="Z104" t="s">
        <v>379</v>
      </c>
      <c r="AA104" t="s">
        <v>505</v>
      </c>
      <c r="AB104">
        <v>64</v>
      </c>
      <c r="AD104">
        <f ca="1"/>
        <v>121</v>
      </c>
    </row>
    <row r="105" spans="1:30" x14ac:dyDescent="0.2">
      <c r="A105" s="6" t="s">
        <v>359</v>
      </c>
      <c r="B105" s="7" t="s">
        <v>360</v>
      </c>
      <c r="C105" s="8">
        <v>0.88500000000000001</v>
      </c>
      <c r="D105" s="8">
        <v>0.88800000000000001</v>
      </c>
      <c r="E105" s="8">
        <v>0.88800000000000001</v>
      </c>
      <c r="F105" s="8">
        <v>0.89300000000000002</v>
      </c>
      <c r="G105" s="8">
        <v>0.89800000000000002</v>
      </c>
      <c r="H105" s="8">
        <v>0.90300000000000002</v>
      </c>
      <c r="I105" s="8">
        <v>0.91300000000000003</v>
      </c>
      <c r="J105" s="8">
        <v>0.92</v>
      </c>
      <c r="K105" s="8">
        <v>0.92600000000000005</v>
      </c>
      <c r="L105" s="8">
        <v>0.93500000000000005</v>
      </c>
      <c r="M105" s="8">
        <v>0.94</v>
      </c>
      <c r="N105" s="8">
        <v>0.94</v>
      </c>
      <c r="O105" s="8">
        <v>0.94299999999999995</v>
      </c>
      <c r="P105" s="8">
        <v>0.94699999999999995</v>
      </c>
      <c r="Q105" s="8">
        <v>0.95099999999999996</v>
      </c>
      <c r="R105" s="8">
        <v>0.95199999999999996</v>
      </c>
      <c r="S105" s="8">
        <v>0.95399999999999996</v>
      </c>
      <c r="T105" s="8">
        <v>0.95499999999999996</v>
      </c>
      <c r="U105" s="8">
        <v>0.95699999999999996</v>
      </c>
      <c r="V105" s="8">
        <v>0.96</v>
      </c>
      <c r="W105" s="8">
        <v>0.95699999999999996</v>
      </c>
      <c r="X105" s="8">
        <v>0.96499999999999997</v>
      </c>
      <c r="Y105" s="9">
        <v>0.96699999999999997</v>
      </c>
      <c r="Z105" t="s">
        <v>379</v>
      </c>
      <c r="AA105" t="s">
        <v>504</v>
      </c>
      <c r="AB105">
        <v>67</v>
      </c>
      <c r="AD105">
        <f ca="1"/>
        <v>4</v>
      </c>
    </row>
    <row r="106" spans="1:30" x14ac:dyDescent="0.2">
      <c r="A106" s="2" t="s">
        <v>85</v>
      </c>
      <c r="B106" s="3" t="s">
        <v>86</v>
      </c>
      <c r="C106" s="4">
        <v>0.67600000000000005</v>
      </c>
      <c r="D106" s="4">
        <v>0.68100000000000005</v>
      </c>
      <c r="E106" s="4">
        <v>0.68400000000000005</v>
      </c>
      <c r="F106" s="4">
        <v>0.69</v>
      </c>
      <c r="G106" s="4">
        <v>0.69699999999999995</v>
      </c>
      <c r="H106" s="4">
        <v>0.70399999999999996</v>
      </c>
      <c r="I106" s="4">
        <v>0.71199999999999997</v>
      </c>
      <c r="J106" s="4">
        <v>0.71699999999999997</v>
      </c>
      <c r="K106" s="4">
        <v>0.73599999999999999</v>
      </c>
      <c r="L106" s="4">
        <v>0.74</v>
      </c>
      <c r="M106" s="4">
        <v>0.746</v>
      </c>
      <c r="N106" s="4">
        <v>0.751</v>
      </c>
      <c r="O106" s="4">
        <v>0.755</v>
      </c>
      <c r="P106" s="4">
        <v>0.76300000000000001</v>
      </c>
      <c r="Q106" s="4">
        <v>0.76900000000000002</v>
      </c>
      <c r="R106" s="4">
        <v>0.77700000000000002</v>
      </c>
      <c r="S106" s="4">
        <v>0.78200000000000003</v>
      </c>
      <c r="T106" s="4">
        <v>0.78900000000000003</v>
      </c>
      <c r="U106" s="4">
        <v>0.79600000000000004</v>
      </c>
      <c r="V106" s="4">
        <v>0.78700000000000003</v>
      </c>
      <c r="W106" s="4">
        <v>0.76600000000000001</v>
      </c>
      <c r="X106" s="4">
        <v>0.76400000000000001</v>
      </c>
      <c r="Y106" s="5">
        <v>0.76500000000000001</v>
      </c>
      <c r="Z106" t="s">
        <v>379</v>
      </c>
      <c r="AA106" t="s">
        <v>505</v>
      </c>
      <c r="AB106">
        <v>68</v>
      </c>
      <c r="AD106">
        <f ca="1"/>
        <v>97</v>
      </c>
    </row>
    <row r="107" spans="1:30" x14ac:dyDescent="0.2">
      <c r="A107" s="2" t="s">
        <v>333</v>
      </c>
      <c r="B107" s="3" t="s">
        <v>334</v>
      </c>
      <c r="C107" s="4">
        <v>0.79300000000000004</v>
      </c>
      <c r="D107" s="4">
        <v>0.79700000000000004</v>
      </c>
      <c r="E107" s="4">
        <v>0.8</v>
      </c>
      <c r="F107" s="4">
        <v>0.80300000000000005</v>
      </c>
      <c r="G107" s="4">
        <v>0.81100000000000005</v>
      </c>
      <c r="H107" s="4">
        <v>0.81299999999999994</v>
      </c>
      <c r="I107" s="4">
        <v>0.81899999999999995</v>
      </c>
      <c r="J107" s="4">
        <v>0.82199999999999995</v>
      </c>
      <c r="K107" s="4">
        <v>0.82499999999999996</v>
      </c>
      <c r="L107" s="4">
        <v>0.82699999999999996</v>
      </c>
      <c r="M107" s="4">
        <v>0.83099999999999996</v>
      </c>
      <c r="N107" s="4">
        <v>0.83599999999999997</v>
      </c>
      <c r="O107" s="4">
        <v>0.83699999999999997</v>
      </c>
      <c r="P107" s="4">
        <v>0.84199999999999997</v>
      </c>
      <c r="Q107" s="4">
        <v>0.84699999999999998</v>
      </c>
      <c r="R107" s="4">
        <v>0.85</v>
      </c>
      <c r="S107" s="4">
        <v>0.85099999999999998</v>
      </c>
      <c r="T107" s="4">
        <v>0.85699999999999998</v>
      </c>
      <c r="U107" s="4">
        <v>0.85799999999999998</v>
      </c>
      <c r="V107" s="4">
        <v>0.86399999999999999</v>
      </c>
      <c r="W107" s="4">
        <v>0.86099999999999999</v>
      </c>
      <c r="X107" s="4">
        <v>0.86499999999999999</v>
      </c>
      <c r="Y107" s="5">
        <v>0.874</v>
      </c>
      <c r="Z107" t="s">
        <v>379</v>
      </c>
      <c r="AA107" t="s">
        <v>504</v>
      </c>
      <c r="AB107">
        <v>71</v>
      </c>
      <c r="AD107">
        <f ca="1"/>
        <v>1</v>
      </c>
    </row>
    <row r="108" spans="1:30" x14ac:dyDescent="0.2">
      <c r="A108" s="2" t="s">
        <v>369</v>
      </c>
      <c r="B108" s="3" t="s">
        <v>370</v>
      </c>
      <c r="C108" s="4">
        <v>0.86299999999999999</v>
      </c>
      <c r="D108" s="4">
        <v>0.86899999999999999</v>
      </c>
      <c r="E108" s="4">
        <v>0.874</v>
      </c>
      <c r="F108" s="4">
        <v>0.879</v>
      </c>
      <c r="G108" s="4">
        <v>0.88900000000000001</v>
      </c>
      <c r="H108" s="4">
        <v>0.89500000000000002</v>
      </c>
      <c r="I108" s="4">
        <v>0.89400000000000002</v>
      </c>
      <c r="J108" s="4">
        <v>0.89700000000000002</v>
      </c>
      <c r="K108" s="4">
        <v>0.90200000000000002</v>
      </c>
      <c r="L108" s="4">
        <v>0.90700000000000003</v>
      </c>
      <c r="M108" s="4">
        <v>0.91300000000000003</v>
      </c>
      <c r="N108" s="4">
        <v>0.90900000000000003</v>
      </c>
      <c r="O108" s="4">
        <v>0.91</v>
      </c>
      <c r="P108" s="4">
        <v>0.92300000000000004</v>
      </c>
      <c r="Q108" s="4">
        <v>0.92400000000000004</v>
      </c>
      <c r="R108" s="4">
        <v>0.92300000000000004</v>
      </c>
      <c r="S108" s="4">
        <v>0.92600000000000005</v>
      </c>
      <c r="T108" s="4">
        <v>0.92900000000000005</v>
      </c>
      <c r="U108" s="4">
        <v>0.92800000000000005</v>
      </c>
      <c r="V108" s="4">
        <v>0.93300000000000005</v>
      </c>
      <c r="W108" s="4">
        <v>0.92</v>
      </c>
      <c r="X108" s="4">
        <v>0.93100000000000005</v>
      </c>
      <c r="Y108" s="5">
        <v>0.94</v>
      </c>
      <c r="Z108" t="s">
        <v>379</v>
      </c>
      <c r="AA108" t="s">
        <v>504</v>
      </c>
      <c r="AB108">
        <v>73</v>
      </c>
      <c r="AD108">
        <f ca="1"/>
        <v>109</v>
      </c>
    </row>
    <row r="109" spans="1:30" x14ac:dyDescent="0.2">
      <c r="A109" s="2" t="s">
        <v>285</v>
      </c>
      <c r="B109" s="3" t="s">
        <v>286</v>
      </c>
      <c r="C109" s="4">
        <v>0.81799999999999995</v>
      </c>
      <c r="D109" s="4">
        <v>0.82699999999999996</v>
      </c>
      <c r="E109" s="4">
        <v>0.83799999999999997</v>
      </c>
      <c r="F109" s="4">
        <v>0.84399999999999997</v>
      </c>
      <c r="G109" s="4">
        <v>0.85199999999999998</v>
      </c>
      <c r="H109" s="4">
        <v>0.86399999999999999</v>
      </c>
      <c r="I109" s="4">
        <v>0.872</v>
      </c>
      <c r="J109" s="4">
        <v>0.86599999999999999</v>
      </c>
      <c r="K109" s="4">
        <v>0.871</v>
      </c>
      <c r="L109" s="4">
        <v>0.873</v>
      </c>
      <c r="M109" s="4">
        <v>0.874</v>
      </c>
      <c r="N109" s="4">
        <v>0.871</v>
      </c>
      <c r="O109" s="4">
        <v>0.87</v>
      </c>
      <c r="P109" s="4">
        <v>0.874</v>
      </c>
      <c r="Q109" s="4">
        <v>0.879</v>
      </c>
      <c r="R109" s="4">
        <v>0.88100000000000001</v>
      </c>
      <c r="S109" s="4">
        <v>0.877</v>
      </c>
      <c r="T109" s="4">
        <v>0.88</v>
      </c>
      <c r="U109" s="4">
        <v>0.88600000000000001</v>
      </c>
      <c r="V109" s="4">
        <v>0.89</v>
      </c>
      <c r="W109" s="4">
        <v>0.88700000000000001</v>
      </c>
      <c r="X109" s="4">
        <v>0.88700000000000001</v>
      </c>
      <c r="Y109" s="5">
        <v>0.89300000000000002</v>
      </c>
      <c r="Z109" t="s">
        <v>379</v>
      </c>
      <c r="AA109" t="s">
        <v>504</v>
      </c>
      <c r="AB109">
        <v>74</v>
      </c>
      <c r="AD109">
        <f ca="1"/>
        <v>8</v>
      </c>
    </row>
    <row r="110" spans="1:30" x14ac:dyDescent="0.2">
      <c r="A110" s="6" t="s">
        <v>311</v>
      </c>
      <c r="B110" s="7" t="s">
        <v>312</v>
      </c>
      <c r="C110" s="8">
        <v>0.871</v>
      </c>
      <c r="D110" s="8">
        <v>0.88700000000000001</v>
      </c>
      <c r="E110" s="8">
        <v>0.89100000000000001</v>
      </c>
      <c r="F110" s="8">
        <v>0.89600000000000002</v>
      </c>
      <c r="G110" s="8">
        <v>0.91</v>
      </c>
      <c r="H110" s="8">
        <v>0.90200000000000002</v>
      </c>
      <c r="I110" s="8">
        <v>0.90700000000000003</v>
      </c>
      <c r="J110" s="8">
        <v>0.90900000000000003</v>
      </c>
      <c r="K110" s="8">
        <v>0.91800000000000004</v>
      </c>
      <c r="L110" s="8">
        <v>0.91300000000000003</v>
      </c>
      <c r="M110" s="8">
        <v>0.91600000000000004</v>
      </c>
      <c r="N110" s="8">
        <v>0.91900000000000004</v>
      </c>
      <c r="O110" s="8">
        <v>0.92100000000000004</v>
      </c>
      <c r="P110" s="8">
        <v>0.92100000000000004</v>
      </c>
      <c r="Q110" s="8">
        <v>0.92300000000000004</v>
      </c>
      <c r="R110" s="8">
        <v>0.92600000000000005</v>
      </c>
      <c r="S110" s="8">
        <v>0.92500000000000004</v>
      </c>
      <c r="T110" s="8">
        <v>0.93400000000000005</v>
      </c>
      <c r="U110" s="8">
        <v>0.92800000000000005</v>
      </c>
      <c r="V110" s="8">
        <v>0.94</v>
      </c>
      <c r="W110" s="8">
        <v>0.93300000000000005</v>
      </c>
      <c r="X110" s="8">
        <v>0.93600000000000005</v>
      </c>
      <c r="Y110" s="9">
        <v>0.94199999999999995</v>
      </c>
      <c r="Z110" t="s">
        <v>379</v>
      </c>
      <c r="AA110" t="s">
        <v>505</v>
      </c>
      <c r="AB110">
        <v>76</v>
      </c>
      <c r="AD110">
        <f ca="1"/>
        <v>175</v>
      </c>
    </row>
    <row r="111" spans="1:30" x14ac:dyDescent="0.2">
      <c r="A111" s="6" t="s">
        <v>271</v>
      </c>
      <c r="B111" s="7" t="s">
        <v>272</v>
      </c>
      <c r="C111" s="8">
        <v>0.81</v>
      </c>
      <c r="D111" s="8">
        <v>0.82</v>
      </c>
      <c r="E111" s="8">
        <v>0.82599999999999996</v>
      </c>
      <c r="F111" s="8">
        <v>0.83299999999999996</v>
      </c>
      <c r="G111" s="8">
        <v>0.83799999999999997</v>
      </c>
      <c r="H111" s="8">
        <v>0.84699999999999998</v>
      </c>
      <c r="I111" s="8">
        <v>0.85599999999999998</v>
      </c>
      <c r="J111" s="8">
        <v>0.86199999999999999</v>
      </c>
      <c r="K111" s="8">
        <v>0.86499999999999999</v>
      </c>
      <c r="L111" s="8">
        <v>0.86599999999999999</v>
      </c>
      <c r="M111" s="8">
        <v>0.872</v>
      </c>
      <c r="N111" s="8">
        <v>0.876</v>
      </c>
      <c r="O111" s="8">
        <v>0.878</v>
      </c>
      <c r="P111" s="8">
        <v>0.88400000000000001</v>
      </c>
      <c r="Q111" s="8">
        <v>0.88900000000000001</v>
      </c>
      <c r="R111" s="8">
        <v>0.89100000000000001</v>
      </c>
      <c r="S111" s="8">
        <v>0.89400000000000002</v>
      </c>
      <c r="T111" s="8">
        <v>0.89600000000000002</v>
      </c>
      <c r="U111" s="8">
        <v>0.89300000000000002</v>
      </c>
      <c r="V111" s="8">
        <v>0.89600000000000002</v>
      </c>
      <c r="W111" s="8">
        <v>0.89100000000000001</v>
      </c>
      <c r="X111" s="8">
        <v>0.89100000000000001</v>
      </c>
      <c r="Y111" s="9">
        <v>0.89500000000000002</v>
      </c>
      <c r="Z111" t="s">
        <v>379</v>
      </c>
      <c r="AA111" t="s">
        <v>505</v>
      </c>
      <c r="AB111">
        <v>85</v>
      </c>
      <c r="AD111">
        <f ca="1"/>
        <v>150</v>
      </c>
    </row>
    <row r="112" spans="1:30" x14ac:dyDescent="0.2">
      <c r="A112" s="6" t="s">
        <v>295</v>
      </c>
      <c r="B112" s="7" t="s">
        <v>296</v>
      </c>
      <c r="C112" s="8">
        <v>0.85099999999999998</v>
      </c>
      <c r="D112" s="8">
        <v>0.85899999999999999</v>
      </c>
      <c r="E112" s="8">
        <v>0.86799999999999999</v>
      </c>
      <c r="F112" s="8">
        <v>0.877</v>
      </c>
      <c r="G112" s="8">
        <v>0.88800000000000001</v>
      </c>
      <c r="H112" s="8">
        <v>0.89400000000000002</v>
      </c>
      <c r="I112" s="8">
        <v>0.89800000000000002</v>
      </c>
      <c r="J112" s="8">
        <v>0.90400000000000003</v>
      </c>
      <c r="K112" s="8">
        <v>0.90500000000000003</v>
      </c>
      <c r="L112" s="8">
        <v>0.9</v>
      </c>
      <c r="M112" s="8">
        <v>0.90800000000000003</v>
      </c>
      <c r="N112" s="8">
        <v>0.90600000000000003</v>
      </c>
      <c r="O112" s="8">
        <v>0.90700000000000003</v>
      </c>
      <c r="P112" s="8">
        <v>0.91100000000000003</v>
      </c>
      <c r="Q112" s="8">
        <v>0.91800000000000004</v>
      </c>
      <c r="R112" s="8">
        <v>0.92400000000000004</v>
      </c>
      <c r="S112" s="8">
        <v>0.92900000000000005</v>
      </c>
      <c r="T112" s="8">
        <v>0.93400000000000005</v>
      </c>
      <c r="U112" s="8">
        <v>0.93799999999999994</v>
      </c>
      <c r="V112" s="8">
        <v>0.94199999999999995</v>
      </c>
      <c r="W112" s="8">
        <v>0.94499999999999995</v>
      </c>
      <c r="X112" s="8">
        <v>0.94599999999999995</v>
      </c>
      <c r="Y112" s="9">
        <v>0.95</v>
      </c>
      <c r="Z112" t="s">
        <v>379</v>
      </c>
      <c r="AA112" t="s">
        <v>504</v>
      </c>
      <c r="AB112">
        <v>92</v>
      </c>
      <c r="AD112">
        <f ca="1"/>
        <v>70</v>
      </c>
    </row>
    <row r="113" spans="1:30" x14ac:dyDescent="0.2">
      <c r="A113" s="2" t="s">
        <v>345</v>
      </c>
      <c r="B113" s="3" t="s">
        <v>346</v>
      </c>
      <c r="C113" s="4">
        <v>0.68899999999999995</v>
      </c>
      <c r="D113" s="4">
        <v>0.69899999999999995</v>
      </c>
      <c r="E113" s="4">
        <v>0.70099999999999996</v>
      </c>
      <c r="F113" s="4">
        <v>0.71</v>
      </c>
      <c r="G113" s="4">
        <v>0.72099999999999997</v>
      </c>
      <c r="H113" s="4">
        <v>0.73199999999999998</v>
      </c>
      <c r="I113" s="4">
        <v>0.74299999999999999</v>
      </c>
      <c r="J113" s="4">
        <v>0.753</v>
      </c>
      <c r="K113" s="4">
        <v>0.76400000000000001</v>
      </c>
      <c r="L113" s="4">
        <v>0.76600000000000001</v>
      </c>
      <c r="M113" s="4">
        <v>0.76800000000000002</v>
      </c>
      <c r="N113" s="4">
        <v>0.77300000000000002</v>
      </c>
      <c r="O113" s="4">
        <v>0.78</v>
      </c>
      <c r="P113" s="4">
        <v>0.78500000000000003</v>
      </c>
      <c r="Q113" s="4">
        <v>0.78700000000000003</v>
      </c>
      <c r="R113" s="4">
        <v>0.79400000000000004</v>
      </c>
      <c r="S113" s="4">
        <v>0.8</v>
      </c>
      <c r="T113" s="4">
        <v>0.80200000000000005</v>
      </c>
      <c r="U113" s="4">
        <v>0.80800000000000005</v>
      </c>
      <c r="V113" s="4">
        <v>0.81200000000000006</v>
      </c>
      <c r="W113" s="4">
        <v>0.80600000000000005</v>
      </c>
      <c r="X113" s="4">
        <v>0.80400000000000005</v>
      </c>
      <c r="Y113" s="5">
        <v>0.80500000000000005</v>
      </c>
      <c r="Z113" t="s">
        <v>379</v>
      </c>
      <c r="AA113" t="s">
        <v>505</v>
      </c>
      <c r="AB113">
        <v>95</v>
      </c>
      <c r="AD113">
        <f ca="1"/>
        <v>131</v>
      </c>
    </row>
    <row r="114" spans="1:30" x14ac:dyDescent="0.2">
      <c r="A114" s="2" t="s">
        <v>357</v>
      </c>
      <c r="B114" s="3" t="s">
        <v>358</v>
      </c>
      <c r="C114" s="4">
        <v>0.90300000000000002</v>
      </c>
      <c r="D114" s="4">
        <v>0.90600000000000003</v>
      </c>
      <c r="E114" s="4">
        <v>0.90900000000000003</v>
      </c>
      <c r="F114" s="4">
        <v>0.91400000000000003</v>
      </c>
      <c r="G114" s="4">
        <v>0.90100000000000002</v>
      </c>
      <c r="H114" s="4">
        <v>0.90300000000000002</v>
      </c>
      <c r="I114" s="4">
        <v>0.90700000000000003</v>
      </c>
      <c r="J114" s="4">
        <v>0.90900000000000003</v>
      </c>
      <c r="K114" s="4">
        <v>0.90500000000000003</v>
      </c>
      <c r="L114" s="4">
        <v>0.90400000000000003</v>
      </c>
      <c r="M114" s="4">
        <v>0.91</v>
      </c>
      <c r="N114" s="4">
        <v>0.91200000000000003</v>
      </c>
      <c r="O114" s="4">
        <v>0.91200000000000003</v>
      </c>
      <c r="P114" s="4">
        <v>0.93200000000000005</v>
      </c>
      <c r="Q114" s="4">
        <v>0.93500000000000005</v>
      </c>
      <c r="R114" s="4">
        <v>0.93700000000000006</v>
      </c>
      <c r="S114" s="4">
        <v>0.93899999999999995</v>
      </c>
      <c r="T114" s="4">
        <v>0.94099999999999995</v>
      </c>
      <c r="U114" s="4">
        <v>0.94299999999999995</v>
      </c>
      <c r="V114" s="4">
        <v>0.94699999999999995</v>
      </c>
      <c r="W114" s="4">
        <v>0.94399999999999995</v>
      </c>
      <c r="X114" s="4">
        <v>0.94899999999999995</v>
      </c>
      <c r="Y114" s="5">
        <v>0.95199999999999996</v>
      </c>
      <c r="Z114" t="s">
        <v>379</v>
      </c>
      <c r="AA114" t="s">
        <v>504</v>
      </c>
      <c r="AB114">
        <v>102</v>
      </c>
      <c r="AD114">
        <f ca="1"/>
        <v>170</v>
      </c>
    </row>
    <row r="115" spans="1:30" x14ac:dyDescent="0.2">
      <c r="A115" s="2" t="s">
        <v>273</v>
      </c>
      <c r="B115" s="3" t="s">
        <v>274</v>
      </c>
      <c r="C115" s="4">
        <v>0.89</v>
      </c>
      <c r="D115" s="4">
        <v>0.89700000000000002</v>
      </c>
      <c r="E115" s="4">
        <v>0.89600000000000002</v>
      </c>
      <c r="F115" s="4">
        <v>0.90100000000000002</v>
      </c>
      <c r="G115" s="4">
        <v>0.90600000000000003</v>
      </c>
      <c r="H115" s="4">
        <v>0.91100000000000003</v>
      </c>
      <c r="I115" s="4">
        <v>0.91100000000000003</v>
      </c>
      <c r="J115" s="4">
        <v>0.91200000000000003</v>
      </c>
      <c r="K115" s="4">
        <v>0.91500000000000004</v>
      </c>
      <c r="L115" s="4">
        <v>0.90900000000000003</v>
      </c>
      <c r="M115" s="4">
        <v>0.91300000000000003</v>
      </c>
      <c r="N115" s="4">
        <v>0.92700000000000005</v>
      </c>
      <c r="O115" s="4">
        <v>0.93100000000000005</v>
      </c>
      <c r="P115" s="4">
        <v>0.93300000000000005</v>
      </c>
      <c r="Q115" s="4">
        <v>0.93200000000000005</v>
      </c>
      <c r="R115" s="4">
        <v>0.93600000000000005</v>
      </c>
      <c r="S115" s="4">
        <v>0.94299999999999995</v>
      </c>
      <c r="T115" s="4">
        <v>0.94399999999999995</v>
      </c>
      <c r="U115" s="4">
        <v>0.94199999999999995</v>
      </c>
      <c r="V115" s="4">
        <v>0.94599999999999995</v>
      </c>
      <c r="W115" s="4">
        <v>0.94599999999999995</v>
      </c>
      <c r="X115" s="4">
        <v>0.94699999999999995</v>
      </c>
      <c r="Y115" s="5">
        <v>0.95199999999999996</v>
      </c>
      <c r="Z115" t="s">
        <v>379</v>
      </c>
      <c r="AA115" t="s">
        <v>504</v>
      </c>
      <c r="AB115">
        <v>104</v>
      </c>
      <c r="AD115">
        <f ca="1"/>
        <v>151</v>
      </c>
    </row>
    <row r="116" spans="1:30" x14ac:dyDescent="0.2">
      <c r="A116" s="2" t="s">
        <v>81</v>
      </c>
      <c r="B116" s="3" t="s">
        <v>82</v>
      </c>
      <c r="C116" s="4">
        <v>0.65500000000000003</v>
      </c>
      <c r="D116" s="4">
        <v>0.66200000000000003</v>
      </c>
      <c r="E116" s="4">
        <v>0.67100000000000004</v>
      </c>
      <c r="F116" s="4">
        <v>0.68100000000000005</v>
      </c>
      <c r="G116" s="4">
        <v>0.69099999999999995</v>
      </c>
      <c r="H116" s="4">
        <v>0.69799999999999995</v>
      </c>
      <c r="I116" s="4">
        <v>0.70599999999999996</v>
      </c>
      <c r="J116" s="4">
        <v>0.71099999999999997</v>
      </c>
      <c r="K116" s="4">
        <v>0.71799999999999997</v>
      </c>
      <c r="L116" s="4">
        <v>0.71299999999999997</v>
      </c>
      <c r="M116" s="4">
        <v>0.71599999999999997</v>
      </c>
      <c r="N116" s="4">
        <v>0.71899999999999997</v>
      </c>
      <c r="O116" s="4">
        <v>0.72199999999999998</v>
      </c>
      <c r="P116" s="4">
        <v>0.72599999999999998</v>
      </c>
      <c r="Q116" s="4">
        <v>0.749</v>
      </c>
      <c r="R116" s="4">
        <v>0.749</v>
      </c>
      <c r="S116" s="4">
        <v>0.755</v>
      </c>
      <c r="T116" s="4">
        <v>0.76400000000000001</v>
      </c>
      <c r="U116" s="4">
        <v>0.76700000000000002</v>
      </c>
      <c r="V116" s="4">
        <v>0.77300000000000002</v>
      </c>
      <c r="W116" s="4">
        <v>0.76500000000000001</v>
      </c>
      <c r="X116" s="4">
        <v>0.76700000000000002</v>
      </c>
      <c r="Y116" s="5">
        <v>0.76300000000000001</v>
      </c>
      <c r="Z116" t="s">
        <v>379</v>
      </c>
      <c r="AA116" t="s">
        <v>505</v>
      </c>
      <c r="AB116">
        <v>116</v>
      </c>
      <c r="AD116">
        <f ca="1"/>
        <v>128</v>
      </c>
    </row>
    <row r="117" spans="1:30" x14ac:dyDescent="0.2">
      <c r="A117" s="6" t="s">
        <v>267</v>
      </c>
      <c r="B117" s="7" t="s">
        <v>268</v>
      </c>
      <c r="C117" s="8">
        <v>0.76400000000000001</v>
      </c>
      <c r="D117" s="8">
        <v>0.77900000000000003</v>
      </c>
      <c r="E117" s="8">
        <v>0.78500000000000003</v>
      </c>
      <c r="F117" s="8">
        <v>0.79</v>
      </c>
      <c r="G117" s="8">
        <v>0.80100000000000005</v>
      </c>
      <c r="H117" s="8">
        <v>0.80600000000000005</v>
      </c>
      <c r="I117" s="8">
        <v>0.81399999999999995</v>
      </c>
      <c r="J117" s="8">
        <v>0.81799999999999995</v>
      </c>
      <c r="K117" s="8">
        <v>0.82099999999999995</v>
      </c>
      <c r="L117" s="8">
        <v>0.81899999999999995</v>
      </c>
      <c r="M117" s="8">
        <v>0.82399999999999995</v>
      </c>
      <c r="N117" s="8">
        <v>0.82899999999999996</v>
      </c>
      <c r="O117" s="8">
        <v>0.83199999999999996</v>
      </c>
      <c r="P117" s="8">
        <v>0.83899999999999997</v>
      </c>
      <c r="Q117" s="8">
        <v>0.84199999999999997</v>
      </c>
      <c r="R117" s="8">
        <v>0.84399999999999997</v>
      </c>
      <c r="S117" s="8">
        <v>0.85</v>
      </c>
      <c r="T117" s="8">
        <v>0.85499999999999998</v>
      </c>
      <c r="U117" s="8">
        <v>0.86</v>
      </c>
      <c r="V117" s="8">
        <v>0.86599999999999999</v>
      </c>
      <c r="W117" s="8">
        <v>0.86</v>
      </c>
      <c r="X117" s="8">
        <v>0.86699999999999999</v>
      </c>
      <c r="Y117" s="9">
        <v>0.878</v>
      </c>
      <c r="Z117" t="s">
        <v>379</v>
      </c>
      <c r="AA117" t="s">
        <v>504</v>
      </c>
      <c r="AB117">
        <v>117</v>
      </c>
      <c r="AD117">
        <f ca="1"/>
        <v>74</v>
      </c>
    </row>
    <row r="118" spans="1:30" x14ac:dyDescent="0.2">
      <c r="A118" s="2" t="s">
        <v>341</v>
      </c>
      <c r="B118" s="3" t="s">
        <v>342</v>
      </c>
      <c r="C118" s="4">
        <v>0.875</v>
      </c>
      <c r="D118" s="4">
        <v>0.879</v>
      </c>
      <c r="E118" s="4">
        <v>0.88200000000000001</v>
      </c>
      <c r="F118" s="4">
        <v>0.88300000000000001</v>
      </c>
      <c r="G118" s="4">
        <v>0.88500000000000001</v>
      </c>
      <c r="H118" s="4">
        <v>0.88800000000000001</v>
      </c>
      <c r="I118" s="4">
        <v>0.89200000000000002</v>
      </c>
      <c r="J118" s="4">
        <v>0.89500000000000002</v>
      </c>
      <c r="K118" s="4">
        <v>0.89800000000000002</v>
      </c>
      <c r="L118" s="4">
        <v>0.9</v>
      </c>
      <c r="M118" s="4">
        <v>0.90100000000000002</v>
      </c>
      <c r="N118" s="4">
        <v>0.89500000000000002</v>
      </c>
      <c r="O118" s="4">
        <v>0.88600000000000001</v>
      </c>
      <c r="P118" s="4">
        <v>0.88200000000000001</v>
      </c>
      <c r="Q118" s="4">
        <v>0.879</v>
      </c>
      <c r="R118" s="4">
        <v>0.872</v>
      </c>
      <c r="S118" s="4">
        <v>0.86799999999999999</v>
      </c>
      <c r="T118" s="4">
        <v>0.86699999999999999</v>
      </c>
      <c r="U118" s="4">
        <v>0.85899999999999999</v>
      </c>
      <c r="V118" s="4">
        <v>0.86099999999999999</v>
      </c>
      <c r="W118" s="4">
        <v>0.84399999999999997</v>
      </c>
      <c r="X118" s="4">
        <v>0.85299999999999998</v>
      </c>
      <c r="Y118" s="5">
        <v>0.86699999999999999</v>
      </c>
      <c r="Z118" t="s">
        <v>379</v>
      </c>
      <c r="AA118" t="s">
        <v>504</v>
      </c>
      <c r="AB118">
        <v>118</v>
      </c>
      <c r="AD118">
        <f ca="1"/>
        <v>160</v>
      </c>
    </row>
    <row r="119" spans="1:30" x14ac:dyDescent="0.2">
      <c r="A119" s="2" t="s">
        <v>109</v>
      </c>
      <c r="B119" s="3" t="s">
        <v>110</v>
      </c>
      <c r="C119" s="4">
        <v>0.69799999999999995</v>
      </c>
      <c r="D119" s="4">
        <v>0.71299999999999997</v>
      </c>
      <c r="E119" s="4">
        <v>0.72099999999999997</v>
      </c>
      <c r="F119" s="4">
        <v>0.73</v>
      </c>
      <c r="G119" s="4">
        <v>0.73899999999999999</v>
      </c>
      <c r="H119" s="4">
        <v>0.74299999999999999</v>
      </c>
      <c r="I119" s="4">
        <v>0.752</v>
      </c>
      <c r="J119" s="4">
        <v>0.75900000000000001</v>
      </c>
      <c r="K119" s="4">
        <v>0.76300000000000001</v>
      </c>
      <c r="L119" s="4">
        <v>0.76100000000000001</v>
      </c>
      <c r="M119" s="4">
        <v>0.76600000000000001</v>
      </c>
      <c r="N119" s="4">
        <v>0.77200000000000002</v>
      </c>
      <c r="O119" s="4">
        <v>0.77400000000000002</v>
      </c>
      <c r="P119" s="4">
        <v>0.77400000000000002</v>
      </c>
      <c r="Q119" s="4">
        <v>0.77400000000000002</v>
      </c>
      <c r="R119" s="4">
        <v>0.76400000000000001</v>
      </c>
      <c r="S119" s="4">
        <v>0.76700000000000002</v>
      </c>
      <c r="T119" s="4">
        <v>0.77100000000000002</v>
      </c>
      <c r="U119" s="4">
        <v>0.77100000000000002</v>
      </c>
      <c r="V119" s="4">
        <v>0.77400000000000002</v>
      </c>
      <c r="W119" s="4">
        <v>0.76200000000000001</v>
      </c>
      <c r="X119" s="4">
        <v>0.755</v>
      </c>
      <c r="Y119" s="5">
        <v>0.73399999999999999</v>
      </c>
      <c r="Z119" t="s">
        <v>379</v>
      </c>
      <c r="AA119" t="s">
        <v>505</v>
      </c>
      <c r="AB119">
        <v>122</v>
      </c>
      <c r="AD119">
        <f ca="1"/>
        <v>2</v>
      </c>
    </row>
    <row r="120" spans="1:30" x14ac:dyDescent="0.2">
      <c r="A120" s="6" t="s">
        <v>319</v>
      </c>
      <c r="B120" s="7" t="s">
        <v>320</v>
      </c>
      <c r="C120" s="8">
        <v>0.77900000000000003</v>
      </c>
      <c r="D120" s="8">
        <v>0.79300000000000004</v>
      </c>
      <c r="E120" s="8">
        <v>0.79800000000000004</v>
      </c>
      <c r="F120" s="8">
        <v>0.81200000000000006</v>
      </c>
      <c r="G120" s="8">
        <v>0.82599999999999996</v>
      </c>
      <c r="H120" s="8">
        <v>0.83399999999999996</v>
      </c>
      <c r="I120" s="8">
        <v>0.83199999999999996</v>
      </c>
      <c r="J120" s="8">
        <v>0.84</v>
      </c>
      <c r="K120" s="8">
        <v>0.84399999999999997</v>
      </c>
      <c r="L120" s="8">
        <v>0.84899999999999998</v>
      </c>
      <c r="M120" s="8">
        <v>0.86199999999999999</v>
      </c>
      <c r="N120" s="8">
        <v>0.85699999999999998</v>
      </c>
      <c r="O120" s="8">
        <v>0.86499999999999999</v>
      </c>
      <c r="P120" s="8">
        <v>0.874</v>
      </c>
      <c r="Q120" s="8">
        <v>0.88100000000000001</v>
      </c>
      <c r="R120" s="8">
        <v>0.88700000000000001</v>
      </c>
      <c r="S120" s="8">
        <v>0.88700000000000001</v>
      </c>
      <c r="T120" s="8">
        <v>0.89600000000000002</v>
      </c>
      <c r="U120" s="8">
        <v>0.90300000000000002</v>
      </c>
      <c r="V120" s="8">
        <v>0.90500000000000003</v>
      </c>
      <c r="W120" s="8">
        <v>0.90100000000000002</v>
      </c>
      <c r="X120" s="8">
        <v>0.91200000000000003</v>
      </c>
      <c r="Y120" s="9">
        <v>0.91500000000000004</v>
      </c>
      <c r="Z120" t="s">
        <v>379</v>
      </c>
      <c r="AA120" t="s">
        <v>504</v>
      </c>
      <c r="AB120">
        <v>123</v>
      </c>
      <c r="AD120">
        <f ca="1"/>
        <v>20</v>
      </c>
    </row>
    <row r="121" spans="1:30" x14ac:dyDescent="0.2">
      <c r="A121" s="2" t="s">
        <v>249</v>
      </c>
      <c r="B121" s="3" t="s">
        <v>250</v>
      </c>
      <c r="C121" s="4">
        <v>0.87</v>
      </c>
      <c r="D121" s="4">
        <v>0.874</v>
      </c>
      <c r="E121" s="4">
        <v>0.878</v>
      </c>
      <c r="F121" s="4">
        <v>0.88</v>
      </c>
      <c r="G121" s="4">
        <v>0.88600000000000001</v>
      </c>
      <c r="H121" s="4">
        <v>0.88900000000000001</v>
      </c>
      <c r="I121" s="4">
        <v>0.89300000000000002</v>
      </c>
      <c r="J121" s="4">
        <v>0.89600000000000002</v>
      </c>
      <c r="K121" s="4">
        <v>0.89900000000000002</v>
      </c>
      <c r="L121" s="4">
        <v>0.89800000000000002</v>
      </c>
      <c r="M121" s="4">
        <v>0.90300000000000002</v>
      </c>
      <c r="N121" s="4">
        <v>0.90700000000000003</v>
      </c>
      <c r="O121" s="4">
        <v>0.90900000000000003</v>
      </c>
      <c r="P121" s="4">
        <v>0.90700000000000003</v>
      </c>
      <c r="Q121" s="4">
        <v>0.91100000000000003</v>
      </c>
      <c r="R121" s="4">
        <v>0.91</v>
      </c>
      <c r="S121" s="4">
        <v>0.91300000000000003</v>
      </c>
      <c r="T121" s="4">
        <v>0.91400000000000003</v>
      </c>
      <c r="U121" s="4">
        <v>0.91700000000000004</v>
      </c>
      <c r="V121" s="4">
        <v>0.92</v>
      </c>
      <c r="W121" s="4">
        <v>0.91600000000000004</v>
      </c>
      <c r="X121" s="4">
        <v>0.92</v>
      </c>
      <c r="Y121" s="5">
        <v>0.92600000000000005</v>
      </c>
      <c r="Z121" t="s">
        <v>379</v>
      </c>
      <c r="AA121" t="s">
        <v>504</v>
      </c>
      <c r="AB121">
        <v>125</v>
      </c>
      <c r="AD121">
        <f ca="1"/>
        <v>50</v>
      </c>
    </row>
    <row r="122" spans="1:30" x14ac:dyDescent="0.2">
      <c r="A122" s="6" t="s">
        <v>259</v>
      </c>
      <c r="B122" s="7" t="s">
        <v>260</v>
      </c>
      <c r="C122" s="8">
        <v>0.88400000000000001</v>
      </c>
      <c r="D122" s="8">
        <v>0.88900000000000001</v>
      </c>
      <c r="E122" s="8">
        <v>0.89100000000000001</v>
      </c>
      <c r="F122" s="8">
        <v>0.89300000000000002</v>
      </c>
      <c r="G122" s="8">
        <v>0.89900000000000002</v>
      </c>
      <c r="H122" s="8">
        <v>0.90100000000000002</v>
      </c>
      <c r="I122" s="8">
        <v>0.90400000000000003</v>
      </c>
      <c r="J122" s="8">
        <v>0.90700000000000003</v>
      </c>
      <c r="K122" s="8">
        <v>0.90900000000000003</v>
      </c>
      <c r="L122" s="8">
        <v>0.91</v>
      </c>
      <c r="M122" s="8">
        <v>0.91300000000000003</v>
      </c>
      <c r="N122" s="8">
        <v>0.91400000000000003</v>
      </c>
      <c r="O122" s="8">
        <v>0.91500000000000004</v>
      </c>
      <c r="P122" s="8">
        <v>0.91700000000000004</v>
      </c>
      <c r="Q122" s="8">
        <v>0.92200000000000004</v>
      </c>
      <c r="R122" s="8">
        <v>0.92400000000000004</v>
      </c>
      <c r="S122" s="8">
        <v>0.92700000000000005</v>
      </c>
      <c r="T122" s="8">
        <v>0.93100000000000005</v>
      </c>
      <c r="U122" s="8">
        <v>0.93300000000000005</v>
      </c>
      <c r="V122" s="8">
        <v>0.93600000000000005</v>
      </c>
      <c r="W122" s="8">
        <v>0.93</v>
      </c>
      <c r="X122" s="8">
        <v>0.93799999999999994</v>
      </c>
      <c r="Y122" s="9">
        <v>0.94199999999999995</v>
      </c>
      <c r="Z122" t="s">
        <v>379</v>
      </c>
      <c r="AA122" t="s">
        <v>504</v>
      </c>
      <c r="AB122">
        <v>126</v>
      </c>
      <c r="AD122">
        <f ca="1"/>
        <v>46</v>
      </c>
    </row>
    <row r="123" spans="1:30" x14ac:dyDescent="0.2">
      <c r="A123" s="6" t="s">
        <v>339</v>
      </c>
      <c r="B123" s="7" t="s">
        <v>340</v>
      </c>
      <c r="C123" s="8">
        <v>0.73299999999999998</v>
      </c>
      <c r="D123" s="8">
        <v>0.74299999999999999</v>
      </c>
      <c r="E123" s="8">
        <v>0.749</v>
      </c>
      <c r="F123" s="8">
        <v>0.75700000000000001</v>
      </c>
      <c r="G123" s="8">
        <v>0.76400000000000001</v>
      </c>
      <c r="H123" s="8">
        <v>0.76700000000000002</v>
      </c>
      <c r="I123" s="8">
        <v>0.77800000000000002</v>
      </c>
      <c r="J123" s="8">
        <v>0.78900000000000003</v>
      </c>
      <c r="K123" s="8">
        <v>0.79300000000000004</v>
      </c>
      <c r="L123" s="8">
        <v>0.79100000000000004</v>
      </c>
      <c r="M123" s="8">
        <v>0.79700000000000004</v>
      </c>
      <c r="N123" s="8">
        <v>0.80700000000000005</v>
      </c>
      <c r="O123" s="8">
        <v>0.81100000000000005</v>
      </c>
      <c r="P123" s="8">
        <v>0.81599999999999995</v>
      </c>
      <c r="Q123" s="8">
        <v>0.81799999999999995</v>
      </c>
      <c r="R123" s="8">
        <v>0.82299999999999995</v>
      </c>
      <c r="S123" s="8">
        <v>0.82599999999999996</v>
      </c>
      <c r="T123" s="8">
        <v>0.82699999999999996</v>
      </c>
      <c r="U123" s="8">
        <v>0.83599999999999997</v>
      </c>
      <c r="V123" s="8">
        <v>0.83899999999999997</v>
      </c>
      <c r="W123" s="8">
        <v>0.82599999999999996</v>
      </c>
      <c r="X123" s="8">
        <v>0.81799999999999995</v>
      </c>
      <c r="Y123" s="9">
        <v>0.82099999999999995</v>
      </c>
      <c r="Z123" t="s">
        <v>379</v>
      </c>
      <c r="AA123" t="s">
        <v>505</v>
      </c>
      <c r="AB123">
        <v>130</v>
      </c>
      <c r="AD123">
        <f ca="1"/>
        <v>125</v>
      </c>
    </row>
    <row r="124" spans="1:30" x14ac:dyDescent="0.2">
      <c r="A124" s="6" t="s">
        <v>315</v>
      </c>
      <c r="B124" s="7" t="s">
        <v>316</v>
      </c>
      <c r="C124" s="8">
        <v>0.86399999999999999</v>
      </c>
      <c r="D124" s="8">
        <v>0.86699999999999999</v>
      </c>
      <c r="E124" s="8">
        <v>0.872</v>
      </c>
      <c r="F124" s="8">
        <v>0.873</v>
      </c>
      <c r="G124" s="8">
        <v>0.88100000000000001</v>
      </c>
      <c r="H124" s="8">
        <v>0.88200000000000001</v>
      </c>
      <c r="I124" s="8">
        <v>0.88200000000000001</v>
      </c>
      <c r="J124" s="8">
        <v>0.88500000000000001</v>
      </c>
      <c r="K124" s="8">
        <v>0.89800000000000002</v>
      </c>
      <c r="L124" s="8">
        <v>0.90800000000000003</v>
      </c>
      <c r="M124" s="8">
        <v>0.91200000000000003</v>
      </c>
      <c r="N124" s="8">
        <v>0.91300000000000003</v>
      </c>
      <c r="O124" s="8">
        <v>0.91700000000000004</v>
      </c>
      <c r="P124" s="8">
        <v>0.92200000000000004</v>
      </c>
      <c r="Q124" s="8">
        <v>0.92700000000000005</v>
      </c>
      <c r="R124" s="8">
        <v>0.91400000000000003</v>
      </c>
      <c r="S124" s="8">
        <v>0.92200000000000004</v>
      </c>
      <c r="T124" s="8">
        <v>0.91800000000000004</v>
      </c>
      <c r="U124" s="8">
        <v>0.92100000000000004</v>
      </c>
      <c r="V124" s="8">
        <v>0.92500000000000004</v>
      </c>
      <c r="W124" s="8">
        <v>0.92100000000000004</v>
      </c>
      <c r="X124" s="8">
        <v>0.92700000000000005</v>
      </c>
      <c r="Y124" s="9">
        <v>0.92700000000000005</v>
      </c>
      <c r="Z124" t="s">
        <v>379</v>
      </c>
      <c r="AA124" t="s">
        <v>504</v>
      </c>
      <c r="AB124">
        <v>134</v>
      </c>
      <c r="AD124">
        <f ca="1"/>
        <v>124</v>
      </c>
    </row>
    <row r="125" spans="1:30" x14ac:dyDescent="0.2">
      <c r="A125" s="6" t="s">
        <v>275</v>
      </c>
      <c r="B125" s="7" t="s">
        <v>276</v>
      </c>
      <c r="C125" s="8">
        <v>0.79800000000000004</v>
      </c>
      <c r="D125" s="8">
        <v>0.80700000000000005</v>
      </c>
      <c r="E125" s="8">
        <v>0.81799999999999995</v>
      </c>
      <c r="F125" s="8">
        <v>0.82599999999999996</v>
      </c>
      <c r="G125" s="8">
        <v>0.83599999999999997</v>
      </c>
      <c r="H125" s="8">
        <v>0.84799999999999998</v>
      </c>
      <c r="I125" s="8">
        <v>0.85599999999999998</v>
      </c>
      <c r="J125" s="8">
        <v>0.85899999999999999</v>
      </c>
      <c r="K125" s="8">
        <v>0.86099999999999999</v>
      </c>
      <c r="L125" s="8">
        <v>0.85899999999999999</v>
      </c>
      <c r="M125" s="8">
        <v>0.86399999999999999</v>
      </c>
      <c r="N125" s="8">
        <v>0.873</v>
      </c>
      <c r="O125" s="8">
        <v>0.876</v>
      </c>
      <c r="P125" s="8">
        <v>0.88100000000000001</v>
      </c>
      <c r="Q125" s="8">
        <v>0.879</v>
      </c>
      <c r="R125" s="8">
        <v>0.88300000000000001</v>
      </c>
      <c r="S125" s="8">
        <v>0.88400000000000001</v>
      </c>
      <c r="T125" s="8">
        <v>0.88600000000000001</v>
      </c>
      <c r="U125" s="8">
        <v>0.89</v>
      </c>
      <c r="V125" s="8">
        <v>0.89300000000000002</v>
      </c>
      <c r="W125" s="8">
        <v>0.89100000000000001</v>
      </c>
      <c r="X125" s="8">
        <v>0.89</v>
      </c>
      <c r="Y125" s="9">
        <v>0.89900000000000002</v>
      </c>
      <c r="Z125" t="s">
        <v>379</v>
      </c>
      <c r="AA125" t="s">
        <v>504</v>
      </c>
      <c r="AB125">
        <v>139</v>
      </c>
      <c r="AD125">
        <f ca="1"/>
        <v>57</v>
      </c>
    </row>
    <row r="126" spans="1:30" x14ac:dyDescent="0.2">
      <c r="A126" s="2" t="s">
        <v>277</v>
      </c>
      <c r="B126" s="3" t="s">
        <v>278</v>
      </c>
      <c r="C126" s="4">
        <v>0.88700000000000001</v>
      </c>
      <c r="D126" s="4">
        <v>0.89700000000000002</v>
      </c>
      <c r="E126" s="4">
        <v>0.90100000000000002</v>
      </c>
      <c r="F126" s="4">
        <v>0.90500000000000003</v>
      </c>
      <c r="G126" s="4">
        <v>0.90100000000000002</v>
      </c>
      <c r="H126" s="4">
        <v>0.90400000000000003</v>
      </c>
      <c r="I126" s="4">
        <v>0.90900000000000003</v>
      </c>
      <c r="J126" s="4">
        <v>0.91100000000000003</v>
      </c>
      <c r="K126" s="4">
        <v>0.91300000000000003</v>
      </c>
      <c r="L126" s="4">
        <v>0.90800000000000003</v>
      </c>
      <c r="M126" s="4">
        <v>0.91200000000000003</v>
      </c>
      <c r="N126" s="4">
        <v>0.91600000000000004</v>
      </c>
      <c r="O126" s="4">
        <v>0.91600000000000004</v>
      </c>
      <c r="P126" s="4">
        <v>0.92600000000000005</v>
      </c>
      <c r="Q126" s="4">
        <v>0.92800000000000005</v>
      </c>
      <c r="R126" s="4">
        <v>0.93</v>
      </c>
      <c r="S126" s="4">
        <v>0.93100000000000005</v>
      </c>
      <c r="T126" s="4">
        <v>0.93400000000000005</v>
      </c>
      <c r="U126" s="4">
        <v>0.93600000000000005</v>
      </c>
      <c r="V126" s="4">
        <v>0.93899999999999995</v>
      </c>
      <c r="W126" s="4">
        <v>0.93899999999999995</v>
      </c>
      <c r="X126" s="4">
        <v>0.94099999999999995</v>
      </c>
      <c r="Y126" s="5">
        <v>0.94199999999999995</v>
      </c>
      <c r="Z126" t="s">
        <v>379</v>
      </c>
      <c r="AA126" t="s">
        <v>504</v>
      </c>
      <c r="AB126">
        <v>140</v>
      </c>
      <c r="AD126">
        <f ca="1"/>
        <v>38</v>
      </c>
    </row>
    <row r="127" spans="1:30" x14ac:dyDescent="0.2">
      <c r="A127" s="6" t="s">
        <v>35</v>
      </c>
      <c r="B127" s="7" t="s">
        <v>36</v>
      </c>
      <c r="C127" s="8">
        <v>0.65600000000000003</v>
      </c>
      <c r="D127" s="8">
        <v>0.66100000000000003</v>
      </c>
      <c r="E127" s="8">
        <v>0.66300000000000003</v>
      </c>
      <c r="F127" s="8">
        <v>0.67100000000000004</v>
      </c>
      <c r="G127" s="8">
        <v>0.67800000000000005</v>
      </c>
      <c r="H127" s="8">
        <v>0.67900000000000005</v>
      </c>
      <c r="I127" s="8">
        <v>0.68700000000000006</v>
      </c>
      <c r="J127" s="8">
        <v>0.70199999999999996</v>
      </c>
      <c r="K127" s="8">
        <v>0.71399999999999997</v>
      </c>
      <c r="L127" s="8">
        <v>0.71599999999999997</v>
      </c>
      <c r="M127" s="8">
        <v>0.71799999999999997</v>
      </c>
      <c r="N127" s="8">
        <v>0.72299999999999998</v>
      </c>
      <c r="O127" s="8">
        <v>0.73499999999999999</v>
      </c>
      <c r="P127" s="8">
        <v>0.745</v>
      </c>
      <c r="Q127" s="8">
        <v>0.751</v>
      </c>
      <c r="R127" s="8">
        <v>0.75700000000000001</v>
      </c>
      <c r="S127" s="8">
        <v>0.76700000000000002</v>
      </c>
      <c r="T127" s="8">
        <v>0.77</v>
      </c>
      <c r="U127" s="8">
        <v>0.77400000000000002</v>
      </c>
      <c r="V127" s="8">
        <v>0.78</v>
      </c>
      <c r="W127" s="8">
        <v>0.77600000000000002</v>
      </c>
      <c r="X127" s="8">
        <v>0.77600000000000002</v>
      </c>
      <c r="Y127" s="9">
        <v>0.77900000000000003</v>
      </c>
      <c r="Z127" t="s">
        <v>379</v>
      </c>
      <c r="AA127" t="s">
        <v>505</v>
      </c>
      <c r="AB127">
        <v>145</v>
      </c>
      <c r="AD127">
        <f ca="1"/>
        <v>61</v>
      </c>
    </row>
    <row r="128" spans="1:30" x14ac:dyDescent="0.2">
      <c r="A128" s="6" t="s">
        <v>283</v>
      </c>
      <c r="B128" s="7" t="s">
        <v>284</v>
      </c>
      <c r="C128" s="8">
        <v>0.89</v>
      </c>
      <c r="D128" s="8">
        <v>0.89700000000000002</v>
      </c>
      <c r="E128" s="8">
        <v>0.90200000000000002</v>
      </c>
      <c r="F128" s="8">
        <v>0.90600000000000003</v>
      </c>
      <c r="G128" s="8">
        <v>0.91500000000000004</v>
      </c>
      <c r="H128" s="8">
        <v>0.91600000000000004</v>
      </c>
      <c r="I128" s="8">
        <v>0.92</v>
      </c>
      <c r="J128" s="8">
        <v>0.92300000000000004</v>
      </c>
      <c r="K128" s="8">
        <v>0.92600000000000005</v>
      </c>
      <c r="L128" s="8">
        <v>0.92500000000000004</v>
      </c>
      <c r="M128" s="8">
        <v>0.92900000000000005</v>
      </c>
      <c r="N128" s="8">
        <v>0.93500000000000005</v>
      </c>
      <c r="O128" s="8">
        <v>0.93700000000000006</v>
      </c>
      <c r="P128" s="8">
        <v>0.93799999999999994</v>
      </c>
      <c r="Q128" s="8">
        <v>0.94199999999999995</v>
      </c>
      <c r="R128" s="8">
        <v>0.94099999999999995</v>
      </c>
      <c r="S128" s="8">
        <v>0.94099999999999995</v>
      </c>
      <c r="T128" s="8">
        <v>0.94399999999999995</v>
      </c>
      <c r="U128" s="8">
        <v>0.94599999999999995</v>
      </c>
      <c r="V128" s="8">
        <v>0.95099999999999996</v>
      </c>
      <c r="W128" s="8">
        <v>0.94799999999999995</v>
      </c>
      <c r="X128" s="8">
        <v>0.94799999999999995</v>
      </c>
      <c r="Y128" s="9">
        <v>0.95</v>
      </c>
      <c r="Z128" t="s">
        <v>379</v>
      </c>
      <c r="AA128" t="s">
        <v>504</v>
      </c>
      <c r="AB128">
        <v>154</v>
      </c>
      <c r="AD128">
        <f ca="1"/>
        <v>108</v>
      </c>
    </row>
    <row r="129" spans="1:30" x14ac:dyDescent="0.2">
      <c r="A129" s="2" t="s">
        <v>25</v>
      </c>
      <c r="B129" s="3" t="s">
        <v>26</v>
      </c>
      <c r="C129" s="4">
        <v>0.67800000000000005</v>
      </c>
      <c r="D129" s="4">
        <v>0.68700000000000006</v>
      </c>
      <c r="E129" s="4">
        <v>0.69199999999999995</v>
      </c>
      <c r="F129" s="4">
        <v>0.70099999999999996</v>
      </c>
      <c r="G129" s="4">
        <v>0.70699999999999996</v>
      </c>
      <c r="H129" s="4">
        <v>0.72</v>
      </c>
      <c r="I129" s="4">
        <v>0.72799999999999998</v>
      </c>
      <c r="J129" s="4">
        <v>0.74</v>
      </c>
      <c r="K129" s="4">
        <v>0.747</v>
      </c>
      <c r="L129" s="4">
        <v>0.752</v>
      </c>
      <c r="M129" s="4">
        <v>0.76600000000000001</v>
      </c>
      <c r="N129" s="4">
        <v>0.77900000000000003</v>
      </c>
      <c r="O129" s="4">
        <v>0.78900000000000003</v>
      </c>
      <c r="P129" s="4">
        <v>0.79300000000000004</v>
      </c>
      <c r="Q129" s="4">
        <v>0.79700000000000004</v>
      </c>
      <c r="R129" s="4">
        <v>0.79700000000000004</v>
      </c>
      <c r="S129" s="4">
        <v>0.79500000000000004</v>
      </c>
      <c r="T129" s="4">
        <v>0.79600000000000004</v>
      </c>
      <c r="U129" s="4">
        <v>0.79700000000000004</v>
      </c>
      <c r="V129" s="4">
        <v>0.8</v>
      </c>
      <c r="W129" s="4">
        <v>0.78400000000000003</v>
      </c>
      <c r="X129" s="4">
        <v>0.78500000000000003</v>
      </c>
      <c r="Y129" s="5">
        <v>0.78900000000000003</v>
      </c>
      <c r="Z129" t="s">
        <v>379</v>
      </c>
      <c r="AA129" t="s">
        <v>505</v>
      </c>
      <c r="AB129">
        <v>157</v>
      </c>
      <c r="AD129">
        <f ca="1"/>
        <v>83</v>
      </c>
    </row>
    <row r="130" spans="1:30" x14ac:dyDescent="0.2">
      <c r="A130" s="2" t="s">
        <v>257</v>
      </c>
      <c r="B130" s="3" t="s">
        <v>258</v>
      </c>
      <c r="C130" s="4">
        <v>0.70799999999999996</v>
      </c>
      <c r="D130" s="4">
        <v>0.71299999999999997</v>
      </c>
      <c r="E130" s="4">
        <v>0.71799999999999997</v>
      </c>
      <c r="F130" s="4">
        <v>0.72799999999999998</v>
      </c>
      <c r="G130" s="4">
        <v>0.74</v>
      </c>
      <c r="H130" s="4">
        <v>0.749</v>
      </c>
      <c r="I130" s="4">
        <v>0.76100000000000001</v>
      </c>
      <c r="J130" s="4">
        <v>0.77200000000000002</v>
      </c>
      <c r="K130" s="4">
        <v>0.78200000000000003</v>
      </c>
      <c r="L130" s="4">
        <v>0.78400000000000003</v>
      </c>
      <c r="M130" s="4">
        <v>0.79</v>
      </c>
      <c r="N130" s="4">
        <v>0.79800000000000004</v>
      </c>
      <c r="O130" s="4">
        <v>0.80500000000000005</v>
      </c>
      <c r="P130" s="4">
        <v>0.80600000000000005</v>
      </c>
      <c r="Q130" s="4">
        <v>0.81</v>
      </c>
      <c r="R130" s="4">
        <v>0.80900000000000005</v>
      </c>
      <c r="S130" s="4">
        <v>0.80900000000000005</v>
      </c>
      <c r="T130" s="4">
        <v>0.81100000000000005</v>
      </c>
      <c r="U130" s="4">
        <v>0.81200000000000006</v>
      </c>
      <c r="V130" s="4">
        <v>0.81</v>
      </c>
      <c r="W130" s="4">
        <v>0.8</v>
      </c>
      <c r="X130" s="4">
        <v>0.80100000000000005</v>
      </c>
      <c r="Y130" s="5">
        <v>0.80100000000000005</v>
      </c>
      <c r="Z130" t="s">
        <v>379</v>
      </c>
      <c r="AA130" t="s">
        <v>505</v>
      </c>
      <c r="AB130">
        <v>159</v>
      </c>
      <c r="AD130">
        <f ca="1"/>
        <v>133</v>
      </c>
    </row>
    <row r="131" spans="1:30" x14ac:dyDescent="0.2">
      <c r="A131" s="2" t="s">
        <v>289</v>
      </c>
      <c r="B131" s="3" t="s">
        <v>290</v>
      </c>
      <c r="C131" s="4">
        <v>0.77300000000000002</v>
      </c>
      <c r="D131" s="4">
        <v>0.78200000000000003</v>
      </c>
      <c r="E131" s="4">
        <v>0.79100000000000004</v>
      </c>
      <c r="F131" s="4">
        <v>0.79800000000000004</v>
      </c>
      <c r="G131" s="4">
        <v>0.80200000000000005</v>
      </c>
      <c r="H131" s="4">
        <v>0.80700000000000005</v>
      </c>
      <c r="I131" s="4">
        <v>0.81499999999999995</v>
      </c>
      <c r="J131" s="4">
        <v>0.81799999999999995</v>
      </c>
      <c r="K131" s="4">
        <v>0.82399999999999995</v>
      </c>
      <c r="L131" s="4">
        <v>0.82599999999999996</v>
      </c>
      <c r="M131" s="4">
        <v>0.82899999999999996</v>
      </c>
      <c r="N131" s="4">
        <v>0.83299999999999996</v>
      </c>
      <c r="O131" s="4">
        <v>0.83299999999999996</v>
      </c>
      <c r="P131" s="4">
        <v>0.84299999999999997</v>
      </c>
      <c r="Q131" s="4">
        <v>0.84</v>
      </c>
      <c r="R131" s="4">
        <v>0.83899999999999997</v>
      </c>
      <c r="S131" s="4">
        <v>0.84299999999999997</v>
      </c>
      <c r="T131" s="4">
        <v>0.84599999999999997</v>
      </c>
      <c r="U131" s="4">
        <v>0.85</v>
      </c>
      <c r="V131" s="4">
        <v>0.85399999999999998</v>
      </c>
      <c r="W131" s="4">
        <v>0.84899999999999998</v>
      </c>
      <c r="X131" s="4">
        <v>0.84599999999999997</v>
      </c>
      <c r="Y131" s="5">
        <v>0.85099999999999998</v>
      </c>
      <c r="Z131" t="s">
        <v>379</v>
      </c>
      <c r="AA131" t="s">
        <v>505</v>
      </c>
      <c r="AB131">
        <v>164</v>
      </c>
      <c r="AD131">
        <f ca="1"/>
        <v>66</v>
      </c>
    </row>
    <row r="132" spans="1:30" x14ac:dyDescent="0.2">
      <c r="A132" s="2" t="s">
        <v>309</v>
      </c>
      <c r="B132" s="3" t="s">
        <v>310</v>
      </c>
      <c r="C132" s="4">
        <v>0.76100000000000001</v>
      </c>
      <c r="D132" s="4">
        <v>0.77200000000000002</v>
      </c>
      <c r="E132" s="4">
        <v>0.78400000000000003</v>
      </c>
      <c r="F132" s="4">
        <v>0.79500000000000004</v>
      </c>
      <c r="G132" s="4">
        <v>0.80500000000000005</v>
      </c>
      <c r="H132" s="4">
        <v>0.81499999999999995</v>
      </c>
      <c r="I132" s="4">
        <v>0.82099999999999995</v>
      </c>
      <c r="J132" s="4">
        <v>0.82499999999999996</v>
      </c>
      <c r="K132" s="4">
        <v>0.83199999999999996</v>
      </c>
      <c r="L132" s="4">
        <v>0.83099999999999996</v>
      </c>
      <c r="M132" s="4">
        <v>0.82699999999999996</v>
      </c>
      <c r="N132" s="4">
        <v>0.83299999999999996</v>
      </c>
      <c r="O132" s="4">
        <v>0.83699999999999997</v>
      </c>
      <c r="P132" s="4">
        <v>0.84599999999999997</v>
      </c>
      <c r="Q132" s="4">
        <v>0.85</v>
      </c>
      <c r="R132" s="4">
        <v>0.85299999999999998</v>
      </c>
      <c r="S132" s="4">
        <v>0.85799999999999998</v>
      </c>
      <c r="T132" s="4">
        <v>0.86299999999999999</v>
      </c>
      <c r="U132" s="4">
        <v>0.86799999999999999</v>
      </c>
      <c r="V132" s="4">
        <v>0.873</v>
      </c>
      <c r="W132" s="4">
        <v>0.873</v>
      </c>
      <c r="X132" s="4">
        <v>0.86499999999999999</v>
      </c>
      <c r="Y132" s="5">
        <v>0.879</v>
      </c>
      <c r="Z132" t="s">
        <v>379</v>
      </c>
      <c r="AA132" t="s">
        <v>504</v>
      </c>
      <c r="AB132">
        <v>166</v>
      </c>
      <c r="AD132">
        <f ca="1"/>
        <v>159</v>
      </c>
    </row>
    <row r="133" spans="1:30" x14ac:dyDescent="0.2">
      <c r="A133" s="2" t="s">
        <v>337</v>
      </c>
      <c r="B133" s="3" t="s">
        <v>338</v>
      </c>
      <c r="C133" s="4">
        <v>0.72099999999999997</v>
      </c>
      <c r="D133" s="4">
        <v>0.72699999999999998</v>
      </c>
      <c r="E133" s="4">
        <v>0.73399999999999999</v>
      </c>
      <c r="F133" s="4">
        <v>0.73299999999999998</v>
      </c>
      <c r="G133" s="4">
        <v>0.74</v>
      </c>
      <c r="H133" s="4">
        <v>0.75</v>
      </c>
      <c r="I133" s="4">
        <v>0.76800000000000002</v>
      </c>
      <c r="J133" s="4">
        <v>0.78</v>
      </c>
      <c r="K133" s="4">
        <v>0.80700000000000005</v>
      </c>
      <c r="L133" s="4">
        <v>0.81899999999999995</v>
      </c>
      <c r="M133" s="4">
        <v>0.81299999999999994</v>
      </c>
      <c r="N133" s="4">
        <v>0.81299999999999994</v>
      </c>
      <c r="O133" s="4">
        <v>0.80700000000000005</v>
      </c>
      <c r="P133" s="4">
        <v>0.81100000000000005</v>
      </c>
      <c r="Q133" s="4">
        <v>0.81100000000000005</v>
      </c>
      <c r="R133" s="4">
        <v>0.81299999999999994</v>
      </c>
      <c r="S133" s="4">
        <v>0.81499999999999995</v>
      </c>
      <c r="T133" s="4">
        <v>0.82299999999999995</v>
      </c>
      <c r="U133" s="4">
        <v>0.82899999999999996</v>
      </c>
      <c r="V133" s="4">
        <v>0.83399999999999996</v>
      </c>
      <c r="W133" s="4">
        <v>0.82799999999999996</v>
      </c>
      <c r="X133" s="4">
        <v>0.82499999999999996</v>
      </c>
      <c r="Y133" s="5">
        <v>0.82699999999999996</v>
      </c>
      <c r="Z133" t="s">
        <v>379</v>
      </c>
      <c r="AA133" t="s">
        <v>505</v>
      </c>
      <c r="AB133">
        <v>168</v>
      </c>
      <c r="AD133">
        <f ca="1"/>
        <v>141</v>
      </c>
    </row>
    <row r="134" spans="1:30" x14ac:dyDescent="0.2">
      <c r="A134" s="2" t="s">
        <v>353</v>
      </c>
      <c r="B134" s="3" t="s">
        <v>354</v>
      </c>
      <c r="C134" s="4">
        <v>0.82299999999999995</v>
      </c>
      <c r="D134" s="4">
        <v>0.83799999999999997</v>
      </c>
      <c r="E134" s="4">
        <v>0.84899999999999998</v>
      </c>
      <c r="F134" s="4">
        <v>0.85799999999999998</v>
      </c>
      <c r="G134" s="4">
        <v>0.86399999999999999</v>
      </c>
      <c r="H134" s="4">
        <v>0.86899999999999999</v>
      </c>
      <c r="I134" s="4">
        <v>0.878</v>
      </c>
      <c r="J134" s="4">
        <v>0.88100000000000001</v>
      </c>
      <c r="K134" s="4">
        <v>0.88900000000000001</v>
      </c>
      <c r="L134" s="4">
        <v>0.88600000000000001</v>
      </c>
      <c r="M134" s="4">
        <v>0.89</v>
      </c>
      <c r="N134" s="4">
        <v>0.89200000000000002</v>
      </c>
      <c r="O134" s="4">
        <v>0.89200000000000002</v>
      </c>
      <c r="P134" s="4">
        <v>0.90100000000000002</v>
      </c>
      <c r="Q134" s="4">
        <v>0.90300000000000002</v>
      </c>
      <c r="R134" s="4">
        <v>0.90300000000000002</v>
      </c>
      <c r="S134" s="4">
        <v>0.90900000000000003</v>
      </c>
      <c r="T134" s="4">
        <v>0.91200000000000003</v>
      </c>
      <c r="U134" s="4">
        <v>0.91600000000000004</v>
      </c>
      <c r="V134" s="4">
        <v>0.91800000000000004</v>
      </c>
      <c r="W134" s="4">
        <v>0.91</v>
      </c>
      <c r="X134" s="4">
        <v>0.91600000000000004</v>
      </c>
      <c r="Y134" s="5">
        <v>0.92600000000000005</v>
      </c>
      <c r="Z134" t="s">
        <v>379</v>
      </c>
      <c r="AA134" t="s">
        <v>504</v>
      </c>
      <c r="AB134">
        <v>170</v>
      </c>
      <c r="AD134">
        <f ca="1"/>
        <v>173</v>
      </c>
    </row>
    <row r="135" spans="1:30" x14ac:dyDescent="0.2">
      <c r="A135" s="2" t="s">
        <v>221</v>
      </c>
      <c r="B135" s="3" t="s">
        <v>222</v>
      </c>
      <c r="C135" s="4">
        <v>0.56299999999999994</v>
      </c>
      <c r="D135" s="4">
        <v>0.56799999999999995</v>
      </c>
      <c r="E135" s="4">
        <v>0.57299999999999995</v>
      </c>
      <c r="F135" s="4">
        <v>0.57499999999999996</v>
      </c>
      <c r="G135" s="4">
        <v>0.57999999999999996</v>
      </c>
      <c r="H135" s="4">
        <v>0.58499999999999996</v>
      </c>
      <c r="I135" s="4">
        <v>0.59</v>
      </c>
      <c r="J135" s="4">
        <v>0.59599999999999997</v>
      </c>
      <c r="K135" s="4">
        <v>0.60199999999999998</v>
      </c>
      <c r="L135" s="4">
        <v>0.60299999999999998</v>
      </c>
      <c r="M135" s="4">
        <v>0.61099999999999999</v>
      </c>
      <c r="N135" s="4">
        <v>0.61899999999999999</v>
      </c>
      <c r="O135" s="4">
        <v>0.625</v>
      </c>
      <c r="P135" s="4">
        <v>0.63100000000000001</v>
      </c>
      <c r="Q135" s="4">
        <v>0.63800000000000001</v>
      </c>
      <c r="R135" s="4">
        <v>0.64400000000000002</v>
      </c>
      <c r="S135" s="4">
        <v>0.65</v>
      </c>
      <c r="T135" s="4">
        <v>0.65600000000000003</v>
      </c>
      <c r="U135" s="4">
        <v>0.65800000000000003</v>
      </c>
      <c r="V135" s="4">
        <v>0.66100000000000003</v>
      </c>
      <c r="W135" s="4">
        <v>0.65200000000000002</v>
      </c>
      <c r="X135" s="4">
        <v>0.66500000000000004</v>
      </c>
      <c r="Y135" s="5">
        <v>0.66900000000000004</v>
      </c>
      <c r="Z135" s="16" t="s">
        <v>570</v>
      </c>
      <c r="AA135" t="s">
        <v>505</v>
      </c>
      <c r="AB135">
        <v>2</v>
      </c>
      <c r="AD135">
        <f ca="1"/>
        <v>34</v>
      </c>
    </row>
    <row r="136" spans="1:30" x14ac:dyDescent="0.2">
      <c r="A136" s="6" t="s">
        <v>67</v>
      </c>
      <c r="B136" s="7" t="s">
        <v>68</v>
      </c>
      <c r="C136" s="8">
        <v>0.65700000000000003</v>
      </c>
      <c r="D136" s="8">
        <v>0.66600000000000004</v>
      </c>
      <c r="E136" s="8">
        <v>0.66900000000000004</v>
      </c>
      <c r="F136" s="8">
        <v>0.66500000000000004</v>
      </c>
      <c r="G136" s="8">
        <v>0.68</v>
      </c>
      <c r="H136" s="8">
        <v>0.68500000000000005</v>
      </c>
      <c r="I136" s="8">
        <v>0.69499999999999995</v>
      </c>
      <c r="J136" s="8">
        <v>0.70299999999999996</v>
      </c>
      <c r="K136" s="8">
        <v>0.71199999999999997</v>
      </c>
      <c r="L136" s="8">
        <v>0.71199999999999997</v>
      </c>
      <c r="M136" s="8">
        <v>0.71099999999999997</v>
      </c>
      <c r="N136" s="8">
        <v>0.71499999999999997</v>
      </c>
      <c r="O136" s="8">
        <v>0.71599999999999997</v>
      </c>
      <c r="P136" s="8">
        <v>0.71499999999999997</v>
      </c>
      <c r="Q136" s="8">
        <v>0.71399999999999997</v>
      </c>
      <c r="R136" s="8">
        <v>0.71199999999999997</v>
      </c>
      <c r="S136" s="8">
        <v>0.71</v>
      </c>
      <c r="T136" s="8">
        <v>0.71099999999999997</v>
      </c>
      <c r="U136" s="8">
        <v>0.71099999999999997</v>
      </c>
      <c r="V136" s="8">
        <v>0.71199999999999997</v>
      </c>
      <c r="W136" s="8">
        <v>0.70699999999999996</v>
      </c>
      <c r="X136" s="8">
        <v>0.70399999999999996</v>
      </c>
      <c r="Y136" s="9">
        <v>0.70599999999999996</v>
      </c>
      <c r="Z136" t="s">
        <v>570</v>
      </c>
      <c r="AA136" t="s">
        <v>505</v>
      </c>
      <c r="AB136">
        <v>3</v>
      </c>
      <c r="AD136">
        <f ca="1"/>
        <v>144</v>
      </c>
    </row>
    <row r="137" spans="1:30" x14ac:dyDescent="0.2">
      <c r="A137" s="6" t="s">
        <v>195</v>
      </c>
      <c r="B137" s="7" t="s">
        <v>196</v>
      </c>
      <c r="C137" s="8">
        <v>0.55100000000000005</v>
      </c>
      <c r="D137" s="8">
        <v>0.55600000000000005</v>
      </c>
      <c r="E137" s="8">
        <v>0.56100000000000005</v>
      </c>
      <c r="F137" s="8">
        <v>0.56599999999999995</v>
      </c>
      <c r="G137" s="8">
        <v>0.56999999999999995</v>
      </c>
      <c r="H137" s="8">
        <v>0.57399999999999995</v>
      </c>
      <c r="I137" s="8">
        <v>0.57999999999999996</v>
      </c>
      <c r="J137" s="8">
        <v>0.59</v>
      </c>
      <c r="K137" s="8">
        <v>0.59899999999999998</v>
      </c>
      <c r="L137" s="8">
        <v>0.60599999999999998</v>
      </c>
      <c r="M137" s="8">
        <v>0.61299999999999999</v>
      </c>
      <c r="N137" s="8">
        <v>0.61699999999999999</v>
      </c>
      <c r="O137" s="8">
        <v>0.62</v>
      </c>
      <c r="P137" s="8">
        <v>0.623</v>
      </c>
      <c r="Q137" s="8">
        <v>0.64</v>
      </c>
      <c r="R137" s="8">
        <v>0.629</v>
      </c>
      <c r="S137" s="8">
        <v>0.63300000000000001</v>
      </c>
      <c r="T137" s="8">
        <v>0.63600000000000001</v>
      </c>
      <c r="U137" s="8">
        <v>0.64</v>
      </c>
      <c r="V137" s="8">
        <v>0.64500000000000002</v>
      </c>
      <c r="W137" s="8">
        <v>0.63800000000000001</v>
      </c>
      <c r="X137" s="8">
        <v>0.63</v>
      </c>
      <c r="Y137" s="9">
        <v>0.629</v>
      </c>
      <c r="Z137" s="16" t="s">
        <v>570</v>
      </c>
      <c r="AA137" t="s">
        <v>505</v>
      </c>
      <c r="AB137">
        <v>7</v>
      </c>
      <c r="AD137">
        <f ca="1"/>
        <v>12</v>
      </c>
    </row>
    <row r="138" spans="1:30" x14ac:dyDescent="0.2">
      <c r="A138" s="6" t="s">
        <v>263</v>
      </c>
      <c r="B138" s="7" t="s">
        <v>264</v>
      </c>
      <c r="C138" s="8">
        <v>0.89</v>
      </c>
      <c r="D138" s="8">
        <v>0.89300000000000002</v>
      </c>
      <c r="E138" s="8">
        <v>0.89500000000000002</v>
      </c>
      <c r="F138" s="8">
        <v>0.89700000000000002</v>
      </c>
      <c r="G138" s="8">
        <v>0.90100000000000002</v>
      </c>
      <c r="H138" s="8">
        <v>0.90300000000000002</v>
      </c>
      <c r="I138" s="8">
        <v>0.90700000000000003</v>
      </c>
      <c r="J138" s="8">
        <v>0.90700000000000003</v>
      </c>
      <c r="K138" s="8">
        <v>0.90900000000000003</v>
      </c>
      <c r="L138" s="8">
        <v>0.91</v>
      </c>
      <c r="M138" s="8">
        <v>0.91100000000000003</v>
      </c>
      <c r="N138" s="8">
        <v>0.91400000000000003</v>
      </c>
      <c r="O138" s="8">
        <v>0.92100000000000004</v>
      </c>
      <c r="P138" s="8">
        <v>0.92300000000000004</v>
      </c>
      <c r="Q138" s="8">
        <v>0.92500000000000004</v>
      </c>
      <c r="R138" s="8">
        <v>0.92700000000000005</v>
      </c>
      <c r="S138" s="8">
        <v>0.92800000000000005</v>
      </c>
      <c r="T138" s="8">
        <v>0.92900000000000005</v>
      </c>
      <c r="U138" s="8">
        <v>0.93</v>
      </c>
      <c r="V138" s="8">
        <v>0.93200000000000005</v>
      </c>
      <c r="W138" s="8">
        <v>0.92800000000000005</v>
      </c>
      <c r="X138" s="8">
        <v>0.93400000000000005</v>
      </c>
      <c r="Y138" s="9">
        <v>0.93500000000000005</v>
      </c>
      <c r="Z138" t="s">
        <v>570</v>
      </c>
      <c r="AA138" t="s">
        <v>504</v>
      </c>
      <c r="AB138">
        <v>22</v>
      </c>
      <c r="AD138">
        <f ca="1"/>
        <v>163</v>
      </c>
    </row>
    <row r="139" spans="1:30" x14ac:dyDescent="0.2">
      <c r="A139" s="2" t="s">
        <v>185</v>
      </c>
      <c r="B139" s="3" t="s">
        <v>186</v>
      </c>
      <c r="C139" s="4">
        <v>0.60899999999999999</v>
      </c>
      <c r="D139" s="4">
        <v>0.61199999999999999</v>
      </c>
      <c r="E139" s="4">
        <v>0.621</v>
      </c>
      <c r="F139" s="4">
        <v>0.627</v>
      </c>
      <c r="G139" s="4">
        <v>0.63300000000000001</v>
      </c>
      <c r="H139" s="4">
        <v>0.64</v>
      </c>
      <c r="I139" s="4">
        <v>0.64500000000000002</v>
      </c>
      <c r="J139" s="4">
        <v>0.65100000000000002</v>
      </c>
      <c r="K139" s="4">
        <v>0.65100000000000002</v>
      </c>
      <c r="L139" s="4">
        <v>0.65100000000000002</v>
      </c>
      <c r="M139" s="4">
        <v>0.65700000000000003</v>
      </c>
      <c r="N139" s="4">
        <v>0.65700000000000003</v>
      </c>
      <c r="O139" s="4">
        <v>0.66100000000000003</v>
      </c>
      <c r="P139" s="4">
        <v>0.66400000000000003</v>
      </c>
      <c r="Q139" s="4">
        <v>0.66300000000000003</v>
      </c>
      <c r="R139" s="4">
        <v>0.66300000000000003</v>
      </c>
      <c r="S139" s="4">
        <v>0.66400000000000003</v>
      </c>
      <c r="T139" s="4">
        <v>0.66700000000000004</v>
      </c>
      <c r="U139" s="4">
        <v>0.67300000000000004</v>
      </c>
      <c r="V139" s="4">
        <v>0.67600000000000005</v>
      </c>
      <c r="W139" s="4">
        <v>0.66600000000000004</v>
      </c>
      <c r="X139" s="4">
        <v>0.66900000000000004</v>
      </c>
      <c r="Y139" s="5">
        <v>0.67400000000000004</v>
      </c>
      <c r="Z139" s="16" t="s">
        <v>570</v>
      </c>
      <c r="AA139" t="s">
        <v>505</v>
      </c>
      <c r="AB139">
        <v>24</v>
      </c>
      <c r="AD139">
        <f ca="1"/>
        <v>91</v>
      </c>
    </row>
    <row r="140" spans="1:30" x14ac:dyDescent="0.2">
      <c r="A140" s="6" t="s">
        <v>95</v>
      </c>
      <c r="B140" s="7" t="s">
        <v>96</v>
      </c>
      <c r="C140" s="8">
        <v>0.69199999999999995</v>
      </c>
      <c r="D140" s="8">
        <v>0.69299999999999995</v>
      </c>
      <c r="E140" s="8">
        <v>0.69699999999999995</v>
      </c>
      <c r="F140" s="8">
        <v>0.70099999999999996</v>
      </c>
      <c r="G140" s="8">
        <v>0.70599999999999996</v>
      </c>
      <c r="H140" s="8">
        <v>0.71099999999999997</v>
      </c>
      <c r="I140" s="8">
        <v>0.72199999999999998</v>
      </c>
      <c r="J140" s="8">
        <v>0.72099999999999997</v>
      </c>
      <c r="K140" s="8">
        <v>0.73</v>
      </c>
      <c r="L140" s="8">
        <v>0.73299999999999998</v>
      </c>
      <c r="M140" s="8">
        <v>0.73099999999999998</v>
      </c>
      <c r="N140" s="8">
        <v>0.73699999999999999</v>
      </c>
      <c r="O140" s="8">
        <v>0.73099999999999998</v>
      </c>
      <c r="P140" s="8">
        <v>0.72299999999999998</v>
      </c>
      <c r="Q140" s="8">
        <v>0.72699999999999998</v>
      </c>
      <c r="R140" s="8">
        <v>0.73599999999999999</v>
      </c>
      <c r="S140" s="8">
        <v>0.74399999999999999</v>
      </c>
      <c r="T140" s="8">
        <v>0.74199999999999999</v>
      </c>
      <c r="U140" s="8">
        <v>0.74399999999999999</v>
      </c>
      <c r="V140" s="8">
        <v>0.73299999999999998</v>
      </c>
      <c r="W140" s="8">
        <v>0.72399999999999998</v>
      </c>
      <c r="X140" s="8">
        <v>0.71699999999999997</v>
      </c>
      <c r="Y140" s="9">
        <v>0.72499999999999998</v>
      </c>
      <c r="Z140" s="16" t="s">
        <v>570</v>
      </c>
      <c r="AA140" t="s">
        <v>505</v>
      </c>
      <c r="AB140">
        <v>40</v>
      </c>
      <c r="AD140">
        <f ca="1"/>
        <v>76</v>
      </c>
    </row>
    <row r="141" spans="1:30" x14ac:dyDescent="0.2">
      <c r="A141" s="6" t="s">
        <v>251</v>
      </c>
      <c r="B141" s="7" t="s">
        <v>252</v>
      </c>
      <c r="C141" s="8">
        <v>0.78800000000000003</v>
      </c>
      <c r="D141" s="8">
        <v>0.79</v>
      </c>
      <c r="E141" s="8">
        <v>0.79200000000000004</v>
      </c>
      <c r="F141" s="8">
        <v>0.79300000000000004</v>
      </c>
      <c r="G141" s="8">
        <v>0.79500000000000004</v>
      </c>
      <c r="H141" s="8">
        <v>0.79800000000000004</v>
      </c>
      <c r="I141" s="8">
        <v>0.8</v>
      </c>
      <c r="J141" s="8">
        <v>0.8</v>
      </c>
      <c r="K141" s="8">
        <v>0.80100000000000005</v>
      </c>
      <c r="L141" s="8">
        <v>0.79800000000000004</v>
      </c>
      <c r="M141" s="8">
        <v>0.8</v>
      </c>
      <c r="N141" s="8">
        <v>0.8</v>
      </c>
      <c r="O141" s="8">
        <v>0.80300000000000005</v>
      </c>
      <c r="P141" s="8">
        <v>0.80400000000000005</v>
      </c>
      <c r="Q141" s="8">
        <v>0.80700000000000005</v>
      </c>
      <c r="R141" s="8">
        <v>0.80700000000000005</v>
      </c>
      <c r="S141" s="8">
        <v>0.80900000000000005</v>
      </c>
      <c r="T141" s="8">
        <v>0.81200000000000006</v>
      </c>
      <c r="U141" s="8">
        <v>0.81399999999999995</v>
      </c>
      <c r="V141" s="8">
        <v>0.80200000000000005</v>
      </c>
      <c r="W141" s="8">
        <v>0.79800000000000004</v>
      </c>
      <c r="X141" s="8">
        <v>0.79900000000000004</v>
      </c>
      <c r="Y141" s="9">
        <v>0.82</v>
      </c>
      <c r="Z141" s="16" t="s">
        <v>570</v>
      </c>
      <c r="AA141" t="s">
        <v>505</v>
      </c>
      <c r="AB141">
        <v>58</v>
      </c>
      <c r="AD141">
        <f ca="1"/>
        <v>171</v>
      </c>
    </row>
    <row r="142" spans="1:30" x14ac:dyDescent="0.2">
      <c r="A142" s="2" t="s">
        <v>197</v>
      </c>
      <c r="B142" s="3" t="s">
        <v>198</v>
      </c>
      <c r="C142" s="4">
        <v>0.48499999999999999</v>
      </c>
      <c r="D142" s="4">
        <v>0.48699999999999999</v>
      </c>
      <c r="E142" s="4">
        <v>0.49099999999999999</v>
      </c>
      <c r="F142" s="4">
        <v>0.497</v>
      </c>
      <c r="G142" s="4">
        <v>0.49399999999999999</v>
      </c>
      <c r="H142" s="4">
        <v>0.50600000000000001</v>
      </c>
      <c r="I142" s="4">
        <v>0.51</v>
      </c>
      <c r="J142" s="4">
        <v>0.51600000000000001</v>
      </c>
      <c r="K142" s="4">
        <v>0.52</v>
      </c>
      <c r="L142" s="4">
        <v>0.52600000000000002</v>
      </c>
      <c r="M142" s="4">
        <v>0.44900000000000001</v>
      </c>
      <c r="N142" s="4">
        <v>0.52900000000000003</v>
      </c>
      <c r="O142" s="4">
        <v>0.53400000000000003</v>
      </c>
      <c r="P142" s="4">
        <v>0.54</v>
      </c>
      <c r="Q142" s="4">
        <v>0.54500000000000004</v>
      </c>
      <c r="R142" s="4">
        <v>0.54900000000000004</v>
      </c>
      <c r="S142" s="4">
        <v>0.55200000000000005</v>
      </c>
      <c r="T142" s="4">
        <v>0.55700000000000005</v>
      </c>
      <c r="U142" s="4">
        <v>0.55900000000000005</v>
      </c>
      <c r="V142" s="4">
        <v>0.55900000000000005</v>
      </c>
      <c r="W142" s="4">
        <v>0.55700000000000005</v>
      </c>
      <c r="X142" s="4">
        <v>0.55100000000000005</v>
      </c>
      <c r="Y142" s="5">
        <v>0.55200000000000005</v>
      </c>
      <c r="Z142" s="16" t="s">
        <v>570</v>
      </c>
      <c r="AA142" t="s">
        <v>505</v>
      </c>
      <c r="AB142">
        <v>80</v>
      </c>
      <c r="AD142">
        <f ca="1"/>
        <v>29</v>
      </c>
    </row>
    <row r="143" spans="1:30" x14ac:dyDescent="0.2">
      <c r="A143" s="2" t="s">
        <v>97</v>
      </c>
      <c r="B143" s="3" t="s">
        <v>98</v>
      </c>
      <c r="C143" s="4">
        <v>0.69099999999999995</v>
      </c>
      <c r="D143" s="4">
        <v>0.69699999999999995</v>
      </c>
      <c r="E143" s="4">
        <v>0.70399999999999996</v>
      </c>
      <c r="F143" s="4">
        <v>0.71199999999999997</v>
      </c>
      <c r="G143" s="4">
        <v>0.71899999999999997</v>
      </c>
      <c r="H143" s="4">
        <v>0.72699999999999998</v>
      </c>
      <c r="I143" s="4">
        <v>0.73699999999999999</v>
      </c>
      <c r="J143" s="4">
        <v>0.747</v>
      </c>
      <c r="K143" s="4">
        <v>0.752</v>
      </c>
      <c r="L143" s="4">
        <v>0.75600000000000001</v>
      </c>
      <c r="M143" s="4">
        <v>0.75600000000000001</v>
      </c>
      <c r="N143" s="4">
        <v>0.75900000000000001</v>
      </c>
      <c r="O143" s="4">
        <v>0.76200000000000001</v>
      </c>
      <c r="P143" s="4">
        <v>0.76600000000000001</v>
      </c>
      <c r="Q143" s="4">
        <v>0.77200000000000002</v>
      </c>
      <c r="R143" s="4">
        <v>0.77700000000000002</v>
      </c>
      <c r="S143" s="4">
        <v>0.78300000000000003</v>
      </c>
      <c r="T143" s="4">
        <v>0.78900000000000003</v>
      </c>
      <c r="U143" s="4">
        <v>0.79300000000000004</v>
      </c>
      <c r="V143" s="4">
        <v>0.78900000000000003</v>
      </c>
      <c r="W143" s="4">
        <v>0.78500000000000003</v>
      </c>
      <c r="X143" s="4">
        <v>0.77300000000000002</v>
      </c>
      <c r="Y143" s="5">
        <v>0.77200000000000002</v>
      </c>
      <c r="Z143" s="16" t="s">
        <v>570</v>
      </c>
      <c r="AA143" t="s">
        <v>505</v>
      </c>
      <c r="AB143">
        <v>82</v>
      </c>
      <c r="AD143">
        <f ca="1"/>
        <v>9</v>
      </c>
    </row>
    <row r="144" spans="1:30" x14ac:dyDescent="0.2">
      <c r="A144" s="6" t="s">
        <v>47</v>
      </c>
      <c r="B144" s="7" t="s">
        <v>48</v>
      </c>
      <c r="C144" s="8">
        <v>0.72099999999999997</v>
      </c>
      <c r="D144" s="8">
        <v>0.71799999999999997</v>
      </c>
      <c r="E144" s="8">
        <v>0.71799999999999997</v>
      </c>
      <c r="F144" s="8">
        <v>0.71799999999999997</v>
      </c>
      <c r="G144" s="8">
        <v>0.72299999999999998</v>
      </c>
      <c r="H144" s="8">
        <v>0.72399999999999998</v>
      </c>
      <c r="I144" s="8">
        <v>0.73099999999999998</v>
      </c>
      <c r="J144" s="8">
        <v>0.73</v>
      </c>
      <c r="K144" s="8">
        <v>0.74099999999999999</v>
      </c>
      <c r="L144" s="8">
        <v>0.73599999999999999</v>
      </c>
      <c r="M144" s="8">
        <v>0.73499999999999999</v>
      </c>
      <c r="N144" s="8">
        <v>0.72399999999999998</v>
      </c>
      <c r="O144" s="8">
        <v>0.72799999999999998</v>
      </c>
      <c r="P144" s="8">
        <v>0.72</v>
      </c>
      <c r="Q144" s="8">
        <v>0.72499999999999998</v>
      </c>
      <c r="R144" s="8">
        <v>0.71899999999999997</v>
      </c>
      <c r="S144" s="8">
        <v>0.72799999999999998</v>
      </c>
      <c r="T144" s="8">
        <v>0.70899999999999996</v>
      </c>
      <c r="U144" s="8">
        <v>0.74399999999999999</v>
      </c>
      <c r="V144" s="8">
        <v>0.745</v>
      </c>
      <c r="W144" s="8">
        <v>0.73799999999999999</v>
      </c>
      <c r="X144" s="8">
        <v>0.73699999999999999</v>
      </c>
      <c r="Y144" s="9">
        <v>0.74</v>
      </c>
      <c r="Z144" s="16" t="s">
        <v>570</v>
      </c>
      <c r="AA144" t="s">
        <v>505</v>
      </c>
      <c r="AB144">
        <v>84</v>
      </c>
      <c r="AD144">
        <f ca="1"/>
        <v>68</v>
      </c>
    </row>
    <row r="145" spans="1:30" x14ac:dyDescent="0.2">
      <c r="A145" s="6" t="s">
        <v>255</v>
      </c>
      <c r="B145" s="7" t="s">
        <v>256</v>
      </c>
      <c r="C145" s="8">
        <v>0.76</v>
      </c>
      <c r="D145" s="8">
        <v>0.76100000000000001</v>
      </c>
      <c r="E145" s="8">
        <v>0.76500000000000001</v>
      </c>
      <c r="F145" s="8">
        <v>0.76900000000000002</v>
      </c>
      <c r="G145" s="8">
        <v>0.77400000000000002</v>
      </c>
      <c r="H145" s="8">
        <v>0.77900000000000003</v>
      </c>
      <c r="I145" s="8">
        <v>0.78400000000000003</v>
      </c>
      <c r="J145" s="8">
        <v>0.78900000000000003</v>
      </c>
      <c r="K145" s="8">
        <v>0.79200000000000004</v>
      </c>
      <c r="L145" s="8">
        <v>0.79400000000000004</v>
      </c>
      <c r="M145" s="8">
        <v>0.79200000000000004</v>
      </c>
      <c r="N145" s="8">
        <v>0.79</v>
      </c>
      <c r="O145" s="8">
        <v>0.79300000000000004</v>
      </c>
      <c r="P145" s="8">
        <v>0.79300000000000004</v>
      </c>
      <c r="Q145" s="8">
        <v>0.79500000000000004</v>
      </c>
      <c r="R145" s="8">
        <v>0.79800000000000004</v>
      </c>
      <c r="S145" s="8">
        <v>0.80100000000000005</v>
      </c>
      <c r="T145" s="8">
        <v>0.80300000000000005</v>
      </c>
      <c r="U145" s="8">
        <v>0.80400000000000005</v>
      </c>
      <c r="V145" s="8">
        <v>0.80600000000000005</v>
      </c>
      <c r="W145" s="8">
        <v>0.80300000000000005</v>
      </c>
      <c r="X145" s="8">
        <v>0.80300000000000005</v>
      </c>
      <c r="Y145" s="9">
        <v>0.80900000000000005</v>
      </c>
      <c r="Z145" s="16" t="s">
        <v>570</v>
      </c>
      <c r="AA145" t="s">
        <v>505</v>
      </c>
      <c r="AB145">
        <v>86</v>
      </c>
      <c r="AD145">
        <f ca="1"/>
        <v>5</v>
      </c>
    </row>
    <row r="146" spans="1:30" x14ac:dyDescent="0.2">
      <c r="A146" s="2" t="s">
        <v>33</v>
      </c>
      <c r="B146" s="3" t="s">
        <v>34</v>
      </c>
      <c r="C146" s="4">
        <v>0.65700000000000003</v>
      </c>
      <c r="D146" s="4">
        <v>0.66100000000000003</v>
      </c>
      <c r="E146" s="4">
        <v>0.67</v>
      </c>
      <c r="F146" s="4">
        <v>0.67900000000000005</v>
      </c>
      <c r="G146" s="4">
        <v>0.68500000000000005</v>
      </c>
      <c r="H146" s="4">
        <v>0.68200000000000005</v>
      </c>
      <c r="I146" s="4">
        <v>0.69699999999999995</v>
      </c>
      <c r="J146" s="4">
        <v>0.70399999999999996</v>
      </c>
      <c r="K146" s="4">
        <v>0.70899999999999996</v>
      </c>
      <c r="L146" s="4">
        <v>0.71499999999999997</v>
      </c>
      <c r="M146" s="4">
        <v>0.72</v>
      </c>
      <c r="N146" s="4">
        <v>0.71899999999999997</v>
      </c>
      <c r="O146" s="4">
        <v>0.72199999999999998</v>
      </c>
      <c r="P146" s="4">
        <v>0.72099999999999997</v>
      </c>
      <c r="Q146" s="4">
        <v>0.71599999999999997</v>
      </c>
      <c r="R146" s="4">
        <v>0.71399999999999997</v>
      </c>
      <c r="S146" s="4">
        <v>0.72</v>
      </c>
      <c r="T146" s="4">
        <v>0.71599999999999997</v>
      </c>
      <c r="U146" s="4">
        <v>0.71499999999999997</v>
      </c>
      <c r="V146" s="4">
        <v>0.71799999999999997</v>
      </c>
      <c r="W146" s="4">
        <v>0.70499999999999996</v>
      </c>
      <c r="X146" s="4">
        <v>0.69799999999999995</v>
      </c>
      <c r="Y146" s="5">
        <v>0.7</v>
      </c>
      <c r="Z146" s="16" t="s">
        <v>570</v>
      </c>
      <c r="AA146" t="s">
        <v>505</v>
      </c>
      <c r="AB146">
        <v>98</v>
      </c>
      <c r="AD146">
        <f ca="1"/>
        <v>58</v>
      </c>
    </row>
    <row r="147" spans="1:30" x14ac:dyDescent="0.2">
      <c r="A147" s="6" t="s">
        <v>199</v>
      </c>
      <c r="B147" s="7" t="s">
        <v>200</v>
      </c>
      <c r="C147" s="8">
        <v>0.55300000000000005</v>
      </c>
      <c r="D147" s="8">
        <v>0.55700000000000005</v>
      </c>
      <c r="E147" s="8">
        <v>0.56100000000000005</v>
      </c>
      <c r="F147" s="8">
        <v>0.56499999999999995</v>
      </c>
      <c r="G147" s="8">
        <v>0.56999999999999995</v>
      </c>
      <c r="H147" s="8">
        <v>0.57499999999999996</v>
      </c>
      <c r="I147" s="8">
        <v>0.57899999999999996</v>
      </c>
      <c r="J147" s="8">
        <v>0.58399999999999996</v>
      </c>
      <c r="K147" s="8">
        <v>0.58899999999999997</v>
      </c>
      <c r="L147" s="8">
        <v>0.59199999999999997</v>
      </c>
      <c r="M147" s="8">
        <v>0.59599999999999997</v>
      </c>
      <c r="N147" s="8">
        <v>0.59799999999999998</v>
      </c>
      <c r="O147" s="8">
        <v>0.59599999999999997</v>
      </c>
      <c r="P147" s="8">
        <v>0.60199999999999998</v>
      </c>
      <c r="Q147" s="8">
        <v>0.60299999999999998</v>
      </c>
      <c r="R147" s="8">
        <v>0.61</v>
      </c>
      <c r="S147" s="8">
        <v>0.61499999999999999</v>
      </c>
      <c r="T147" s="8">
        <v>0.61399999999999999</v>
      </c>
      <c r="U147" s="8">
        <v>0.61399999999999999</v>
      </c>
      <c r="V147" s="8">
        <v>0.629</v>
      </c>
      <c r="W147" s="8">
        <v>0.621</v>
      </c>
      <c r="X147" s="8">
        <v>0.62</v>
      </c>
      <c r="Y147" s="9">
        <v>0.624</v>
      </c>
      <c r="Z147" s="16" t="s">
        <v>570</v>
      </c>
      <c r="AA147" t="s">
        <v>505</v>
      </c>
      <c r="AB147">
        <v>101</v>
      </c>
      <c r="AD147">
        <f ca="1"/>
        <v>48</v>
      </c>
    </row>
    <row r="148" spans="1:30" x14ac:dyDescent="0.2">
      <c r="A148" s="6" t="s">
        <v>371</v>
      </c>
      <c r="B148" s="7" t="s">
        <v>372</v>
      </c>
      <c r="C148" s="8">
        <v>0.89400000000000002</v>
      </c>
      <c r="D148" s="8">
        <v>0.89500000000000002</v>
      </c>
      <c r="E148" s="8">
        <v>0.89600000000000002</v>
      </c>
      <c r="F148" s="8">
        <v>0.89800000000000002</v>
      </c>
      <c r="G148" s="8">
        <v>0.90200000000000002</v>
      </c>
      <c r="H148" s="8">
        <v>0.90400000000000003</v>
      </c>
      <c r="I148" s="8">
        <v>0.90800000000000003</v>
      </c>
      <c r="J148" s="8">
        <v>0.91100000000000003</v>
      </c>
      <c r="K148" s="8">
        <v>0.91200000000000003</v>
      </c>
      <c r="L148" s="8">
        <v>0.91300000000000003</v>
      </c>
      <c r="M148" s="8">
        <v>0.91600000000000004</v>
      </c>
      <c r="N148" s="8">
        <v>0.91800000000000004</v>
      </c>
      <c r="O148" s="8">
        <v>0.92</v>
      </c>
      <c r="P148" s="8">
        <v>0.92200000000000004</v>
      </c>
      <c r="Q148" s="8">
        <v>0.92300000000000004</v>
      </c>
      <c r="R148" s="8">
        <v>0.92400000000000004</v>
      </c>
      <c r="S148" s="8">
        <v>0.92600000000000005</v>
      </c>
      <c r="T148" s="8">
        <v>0.92800000000000005</v>
      </c>
      <c r="U148" s="8">
        <v>0.93</v>
      </c>
      <c r="V148" s="8">
        <v>0.93300000000000005</v>
      </c>
      <c r="W148" s="8">
        <v>0.92300000000000004</v>
      </c>
      <c r="X148" s="8">
        <v>0.92100000000000004</v>
      </c>
      <c r="Y148" s="9">
        <v>0.92700000000000005</v>
      </c>
      <c r="Z148" t="s">
        <v>570</v>
      </c>
      <c r="AA148" t="s">
        <v>504</v>
      </c>
      <c r="AB148">
        <v>121</v>
      </c>
      <c r="AD148">
        <f ca="1"/>
        <v>60</v>
      </c>
    </row>
    <row r="149" spans="1:30" x14ac:dyDescent="0.2">
      <c r="A149" s="6" t="s">
        <v>363</v>
      </c>
      <c r="B149" s="7" t="s">
        <v>364</v>
      </c>
      <c r="C149" s="8">
        <v>0.70799999999999996</v>
      </c>
      <c r="D149" s="8">
        <v>0.71599999999999997</v>
      </c>
      <c r="E149" s="8">
        <v>0.72699999999999998</v>
      </c>
      <c r="F149" s="8">
        <v>0.73299999999999998</v>
      </c>
      <c r="G149" s="8">
        <v>0.747</v>
      </c>
      <c r="H149" s="8">
        <v>0.753</v>
      </c>
      <c r="I149" s="8">
        <v>0.76200000000000001</v>
      </c>
      <c r="J149" s="8">
        <v>0.76800000000000002</v>
      </c>
      <c r="K149" s="8">
        <v>0.77100000000000002</v>
      </c>
      <c r="L149" s="8">
        <v>0.78200000000000003</v>
      </c>
      <c r="M149" s="8">
        <v>0.78500000000000003</v>
      </c>
      <c r="N149" s="8">
        <v>0.78800000000000003</v>
      </c>
      <c r="O149" s="8">
        <v>0.79400000000000004</v>
      </c>
      <c r="P149" s="8">
        <v>0.80100000000000005</v>
      </c>
      <c r="Q149" s="8">
        <v>0.80600000000000005</v>
      </c>
      <c r="R149" s="8">
        <v>0.81200000000000006</v>
      </c>
      <c r="S149" s="8">
        <v>0.81</v>
      </c>
      <c r="T149" s="8">
        <v>0.81100000000000005</v>
      </c>
      <c r="U149" s="8">
        <v>0.80900000000000005</v>
      </c>
      <c r="V149" s="8">
        <v>0.81299999999999994</v>
      </c>
      <c r="W149" s="8">
        <v>0.81499999999999995</v>
      </c>
      <c r="X149" s="8">
        <v>0.80400000000000005</v>
      </c>
      <c r="Y149" s="9">
        <v>0.81399999999999995</v>
      </c>
      <c r="Z149" s="16" t="s">
        <v>570</v>
      </c>
      <c r="AA149" t="s">
        <v>505</v>
      </c>
      <c r="AB149">
        <v>135</v>
      </c>
      <c r="AD149">
        <f ca="1"/>
        <v>96</v>
      </c>
    </row>
    <row r="150" spans="1:30" x14ac:dyDescent="0.2">
      <c r="A150" s="2" t="s">
        <v>45</v>
      </c>
      <c r="B150" s="3" t="s">
        <v>46</v>
      </c>
      <c r="C150" s="4">
        <v>0.69399999999999995</v>
      </c>
      <c r="D150" s="4">
        <v>0.70099999999999996</v>
      </c>
      <c r="E150" s="4">
        <v>0.70599999999999996</v>
      </c>
      <c r="F150" s="4">
        <v>0.71399999999999997</v>
      </c>
      <c r="G150" s="4">
        <v>0.72799999999999998</v>
      </c>
      <c r="H150" s="4">
        <v>0.74099999999999999</v>
      </c>
      <c r="I150" s="4">
        <v>0.76100000000000001</v>
      </c>
      <c r="J150" s="4">
        <v>0.77500000000000002</v>
      </c>
      <c r="K150" s="4">
        <v>0.78400000000000003</v>
      </c>
      <c r="L150" s="4">
        <v>0.78400000000000003</v>
      </c>
      <c r="M150" s="4">
        <v>0.77900000000000003</v>
      </c>
      <c r="N150" s="4">
        <v>0.77600000000000002</v>
      </c>
      <c r="O150" s="4">
        <v>0.77100000000000002</v>
      </c>
      <c r="P150" s="4">
        <v>0.76600000000000001</v>
      </c>
      <c r="Q150" s="4">
        <v>0.76600000000000001</v>
      </c>
      <c r="R150" s="4">
        <v>0.76500000000000001</v>
      </c>
      <c r="S150" s="4">
        <v>0.76300000000000001</v>
      </c>
      <c r="T150" s="4">
        <v>0.76400000000000001</v>
      </c>
      <c r="U150" s="4">
        <v>0.76500000000000001</v>
      </c>
      <c r="V150" s="4">
        <v>0.76600000000000001</v>
      </c>
      <c r="W150" s="4">
        <v>0.75900000000000001</v>
      </c>
      <c r="X150" s="4">
        <v>0.74199999999999999</v>
      </c>
      <c r="Y150" s="5">
        <v>0.76400000000000001</v>
      </c>
      <c r="Z150" s="16" t="s">
        <v>570</v>
      </c>
      <c r="AA150" t="s">
        <v>505</v>
      </c>
      <c r="AB150">
        <v>141</v>
      </c>
      <c r="AD150">
        <f ca="1"/>
        <v>87</v>
      </c>
    </row>
    <row r="151" spans="1:30" x14ac:dyDescent="0.2">
      <c r="A151" s="2" t="s">
        <v>49</v>
      </c>
      <c r="B151" s="3" t="s">
        <v>50</v>
      </c>
      <c r="C151" s="4">
        <v>0.64600000000000002</v>
      </c>
      <c r="D151" s="4">
        <v>0.65100000000000002</v>
      </c>
      <c r="E151" s="4">
        <v>0.65700000000000003</v>
      </c>
      <c r="F151" s="4">
        <v>0.66</v>
      </c>
      <c r="G151" s="4">
        <v>0.66300000000000003</v>
      </c>
      <c r="H151" s="4">
        <v>0.67400000000000004</v>
      </c>
      <c r="I151" s="4">
        <v>0.68400000000000005</v>
      </c>
      <c r="J151" s="4">
        <v>0.69199999999999995</v>
      </c>
      <c r="K151" s="4">
        <v>0.69699999999999995</v>
      </c>
      <c r="L151" s="4">
        <v>0.70099999999999996</v>
      </c>
      <c r="M151" s="4">
        <v>0.70699999999999996</v>
      </c>
      <c r="N151" s="4">
        <v>0.71199999999999997</v>
      </c>
      <c r="O151" s="4">
        <v>0.71799999999999997</v>
      </c>
      <c r="P151" s="4">
        <v>0.72199999999999998</v>
      </c>
      <c r="Q151" s="4">
        <v>0.72799999999999998</v>
      </c>
      <c r="R151" s="4">
        <v>0.73899999999999999</v>
      </c>
      <c r="S151" s="4">
        <v>0.75900000000000001</v>
      </c>
      <c r="T151" s="4">
        <v>0.76100000000000001</v>
      </c>
      <c r="U151" s="4">
        <v>0.76300000000000001</v>
      </c>
      <c r="V151" s="4">
        <v>0.76500000000000001</v>
      </c>
      <c r="W151" s="4">
        <v>0.76</v>
      </c>
      <c r="X151" s="4">
        <v>0.75600000000000001</v>
      </c>
      <c r="Y151" s="5">
        <v>0.76600000000000001</v>
      </c>
      <c r="Z151" s="16" t="s">
        <v>570</v>
      </c>
      <c r="AA151" t="s">
        <v>505</v>
      </c>
      <c r="AB151">
        <v>143</v>
      </c>
      <c r="AD151">
        <f ca="1"/>
        <v>114</v>
      </c>
    </row>
    <row r="152" spans="1:30" x14ac:dyDescent="0.2">
      <c r="A152" s="2" t="s">
        <v>265</v>
      </c>
      <c r="B152" s="3" t="s">
        <v>266</v>
      </c>
      <c r="C152" s="4">
        <v>0.70899999999999996</v>
      </c>
      <c r="D152" s="4">
        <v>0.71399999999999997</v>
      </c>
      <c r="E152" s="4">
        <v>0.72099999999999997</v>
      </c>
      <c r="F152" s="4">
        <v>0.72599999999999998</v>
      </c>
      <c r="G152" s="4">
        <v>0.73099999999999998</v>
      </c>
      <c r="H152" s="4">
        <v>0.73899999999999999</v>
      </c>
      <c r="I152" s="4">
        <v>0.745</v>
      </c>
      <c r="J152" s="4">
        <v>0.754</v>
      </c>
      <c r="K152" s="4">
        <v>0.76200000000000001</v>
      </c>
      <c r="L152" s="4">
        <v>0.76500000000000001</v>
      </c>
      <c r="M152" s="4">
        <v>0.76900000000000002</v>
      </c>
      <c r="N152" s="4">
        <v>0.77800000000000002</v>
      </c>
      <c r="O152" s="4">
        <v>0.78200000000000003</v>
      </c>
      <c r="P152" s="4">
        <v>0.78700000000000003</v>
      </c>
      <c r="Q152" s="4">
        <v>0.79</v>
      </c>
      <c r="R152" s="4">
        <v>0.79200000000000004</v>
      </c>
      <c r="S152" s="4">
        <v>0.79600000000000004</v>
      </c>
      <c r="T152" s="4">
        <v>0.8</v>
      </c>
      <c r="U152" s="4">
        <v>0.80400000000000005</v>
      </c>
      <c r="V152" s="4">
        <v>0.81100000000000005</v>
      </c>
      <c r="W152" s="4">
        <v>0.81100000000000005</v>
      </c>
      <c r="X152" s="4">
        <v>0.80400000000000005</v>
      </c>
      <c r="Y152" s="5">
        <v>0.80600000000000005</v>
      </c>
      <c r="Z152" s="16" t="s">
        <v>570</v>
      </c>
      <c r="AA152" t="s">
        <v>505</v>
      </c>
      <c r="AB152">
        <v>148</v>
      </c>
      <c r="AD152">
        <f ca="1"/>
        <v>71</v>
      </c>
    </row>
    <row r="153" spans="1:30" x14ac:dyDescent="0.2">
      <c r="A153" s="2" t="s">
        <v>57</v>
      </c>
      <c r="B153" s="3" t="s">
        <v>58</v>
      </c>
      <c r="C153" s="4">
        <v>0.745</v>
      </c>
      <c r="D153" s="4">
        <v>0.75</v>
      </c>
      <c r="E153" s="4">
        <v>0.75600000000000001</v>
      </c>
      <c r="F153" s="4">
        <v>0.76200000000000001</v>
      </c>
      <c r="G153" s="4">
        <v>0.754</v>
      </c>
      <c r="H153" s="4">
        <v>0.77300000000000002</v>
      </c>
      <c r="I153" s="4">
        <v>0.77200000000000002</v>
      </c>
      <c r="J153" s="4">
        <v>0.77800000000000002</v>
      </c>
      <c r="K153" s="4">
        <v>0.78100000000000003</v>
      </c>
      <c r="L153" s="4">
        <v>0.77700000000000002</v>
      </c>
      <c r="M153" s="4">
        <v>0.77900000000000003</v>
      </c>
      <c r="N153" s="4">
        <v>0.78200000000000003</v>
      </c>
      <c r="O153" s="4">
        <v>0.78</v>
      </c>
      <c r="P153" s="4">
        <v>0.78300000000000003</v>
      </c>
      <c r="Q153" s="4">
        <v>0.78300000000000003</v>
      </c>
      <c r="R153" s="4">
        <v>0.78600000000000003</v>
      </c>
      <c r="S153" s="4">
        <v>0.78700000000000003</v>
      </c>
      <c r="T153" s="4">
        <v>0.78600000000000003</v>
      </c>
      <c r="U153" s="4">
        <v>0.79</v>
      </c>
      <c r="V153" s="4">
        <v>0.79</v>
      </c>
      <c r="W153" s="4">
        <v>0.78600000000000003</v>
      </c>
      <c r="X153" s="4">
        <v>0.78800000000000003</v>
      </c>
      <c r="Y153" s="5">
        <v>0.79300000000000004</v>
      </c>
      <c r="Z153" s="16" t="s">
        <v>570</v>
      </c>
      <c r="AA153" t="s">
        <v>505</v>
      </c>
      <c r="AB153">
        <v>151</v>
      </c>
      <c r="AD153">
        <f ca="1"/>
        <v>127</v>
      </c>
    </row>
    <row r="154" spans="1:30" x14ac:dyDescent="0.2">
      <c r="A154" s="6" t="s">
        <v>79</v>
      </c>
      <c r="B154" s="7" t="s">
        <v>80</v>
      </c>
      <c r="C154" s="8">
        <v>0.70899999999999996</v>
      </c>
      <c r="D154" s="8">
        <v>0.71199999999999997</v>
      </c>
      <c r="E154" s="8">
        <v>0.71899999999999997</v>
      </c>
      <c r="F154" s="8">
        <v>0.72499999999999998</v>
      </c>
      <c r="G154" s="8">
        <v>0.72899999999999998</v>
      </c>
      <c r="H154" s="8">
        <v>0.73299999999999998</v>
      </c>
      <c r="I154" s="8">
        <v>0.74099999999999999</v>
      </c>
      <c r="J154" s="8">
        <v>0.74299999999999999</v>
      </c>
      <c r="K154" s="8">
        <v>0.745</v>
      </c>
      <c r="L154" s="8">
        <v>0.745</v>
      </c>
      <c r="M154" s="8">
        <v>0.747</v>
      </c>
      <c r="N154" s="8">
        <v>0.753</v>
      </c>
      <c r="O154" s="8">
        <v>0.76</v>
      </c>
      <c r="P154" s="8">
        <v>0.76100000000000001</v>
      </c>
      <c r="Q154" s="8">
        <v>0.76500000000000001</v>
      </c>
      <c r="R154" s="8">
        <v>0.76900000000000002</v>
      </c>
      <c r="S154" s="8">
        <v>0.77300000000000002</v>
      </c>
      <c r="T154" s="8">
        <v>0.77600000000000002</v>
      </c>
      <c r="U154" s="8">
        <v>0.77900000000000003</v>
      </c>
      <c r="V154" s="8">
        <v>0.78100000000000003</v>
      </c>
      <c r="W154" s="8">
        <v>0.75700000000000001</v>
      </c>
      <c r="X154" s="8">
        <v>0.75700000000000001</v>
      </c>
      <c r="Y154" s="9">
        <v>0.78100000000000003</v>
      </c>
      <c r="Z154" s="16" t="s">
        <v>570</v>
      </c>
      <c r="AA154" t="s">
        <v>505</v>
      </c>
      <c r="AB154">
        <v>162</v>
      </c>
      <c r="AD154">
        <f ca="1"/>
        <v>111</v>
      </c>
    </row>
    <row r="155" spans="1:30" x14ac:dyDescent="0.2">
      <c r="A155" s="2" t="s">
        <v>329</v>
      </c>
      <c r="B155" s="3" t="s">
        <v>330</v>
      </c>
      <c r="C155" s="4">
        <v>0.72199999999999998</v>
      </c>
      <c r="D155" s="4">
        <v>0.72699999999999998</v>
      </c>
      <c r="E155" s="4">
        <v>0.73399999999999999</v>
      </c>
      <c r="F155" s="4">
        <v>0.73799999999999999</v>
      </c>
      <c r="G155" s="4">
        <v>0.74399999999999999</v>
      </c>
      <c r="H155" s="4">
        <v>0.75</v>
      </c>
      <c r="I155" s="4">
        <v>0.75600000000000001</v>
      </c>
      <c r="J155" s="4">
        <v>0.76500000000000001</v>
      </c>
      <c r="K155" s="4">
        <v>0.76900000000000002</v>
      </c>
      <c r="L155" s="4">
        <v>0.77100000000000002</v>
      </c>
      <c r="M155" s="4">
        <v>0.77500000000000002</v>
      </c>
      <c r="N155" s="4">
        <v>0.78100000000000003</v>
      </c>
      <c r="O155" s="4">
        <v>0.78800000000000003</v>
      </c>
      <c r="P155" s="4">
        <v>0.79400000000000004</v>
      </c>
      <c r="Q155" s="4">
        <v>0.79700000000000004</v>
      </c>
      <c r="R155" s="4">
        <v>0.80200000000000005</v>
      </c>
      <c r="S155" s="4">
        <v>0.80900000000000005</v>
      </c>
      <c r="T155" s="4">
        <v>0.81399999999999995</v>
      </c>
      <c r="U155" s="4">
        <v>0.81699999999999995</v>
      </c>
      <c r="V155" s="4">
        <v>0.82</v>
      </c>
      <c r="W155" s="4">
        <v>0.80900000000000005</v>
      </c>
      <c r="X155" s="4">
        <v>0.81299999999999994</v>
      </c>
      <c r="Y155" s="5">
        <v>0.82</v>
      </c>
      <c r="Z155" s="16" t="s">
        <v>570</v>
      </c>
      <c r="AA155" t="s">
        <v>505</v>
      </c>
      <c r="AB155">
        <v>175</v>
      </c>
      <c r="AD155">
        <f ca="1"/>
        <v>155</v>
      </c>
    </row>
    <row r="156" spans="1:30" x14ac:dyDescent="0.2">
      <c r="A156" s="6" t="s">
        <v>87</v>
      </c>
      <c r="B156" s="7" t="s">
        <v>88</v>
      </c>
      <c r="C156" s="8">
        <v>0.747</v>
      </c>
      <c r="D156" s="8">
        <v>0.754</v>
      </c>
      <c r="E156" s="8">
        <v>0.76</v>
      </c>
      <c r="F156" s="8">
        <v>0.76500000000000001</v>
      </c>
      <c r="G156" s="8">
        <v>0.76800000000000002</v>
      </c>
      <c r="H156" s="8">
        <v>0.77900000000000003</v>
      </c>
      <c r="I156" s="8">
        <v>0.78</v>
      </c>
      <c r="J156" s="8">
        <v>0.78200000000000003</v>
      </c>
      <c r="K156" s="8">
        <v>0.78</v>
      </c>
      <c r="L156" s="8">
        <v>0.77700000000000002</v>
      </c>
      <c r="M156" s="8">
        <v>0.77500000000000002</v>
      </c>
      <c r="N156" s="8">
        <v>0.77800000000000002</v>
      </c>
      <c r="O156" s="8">
        <v>0.78</v>
      </c>
      <c r="P156" s="8">
        <v>0.77600000000000002</v>
      </c>
      <c r="Q156" s="8">
        <v>0.77700000000000002</v>
      </c>
      <c r="R156" s="8">
        <v>0.78200000000000003</v>
      </c>
      <c r="S156" s="8">
        <v>0.78400000000000003</v>
      </c>
      <c r="T156" s="8">
        <v>0.78600000000000003</v>
      </c>
      <c r="U156" s="8">
        <v>0.78800000000000003</v>
      </c>
      <c r="V156" s="8">
        <v>0.79200000000000004</v>
      </c>
      <c r="W156" s="8">
        <v>0.79400000000000004</v>
      </c>
      <c r="X156" s="8">
        <v>0.80200000000000005</v>
      </c>
      <c r="Y156" s="9">
        <v>0.79700000000000004</v>
      </c>
      <c r="Z156" t="s">
        <v>382</v>
      </c>
      <c r="AA156" t="s">
        <v>505</v>
      </c>
      <c r="AB156">
        <v>8</v>
      </c>
      <c r="AD156">
        <f ca="1"/>
        <v>65</v>
      </c>
    </row>
    <row r="157" spans="1:30" x14ac:dyDescent="0.2">
      <c r="A157" s="2" t="s">
        <v>105</v>
      </c>
      <c r="B157" s="3" t="s">
        <v>106</v>
      </c>
      <c r="C157" s="4">
        <v>0.67900000000000005</v>
      </c>
      <c r="D157" s="4">
        <v>0.68200000000000005</v>
      </c>
      <c r="E157" s="4">
        <v>0.68600000000000005</v>
      </c>
      <c r="F157" s="4">
        <v>0.69299999999999995</v>
      </c>
      <c r="G157" s="4">
        <v>0.69399999999999995</v>
      </c>
      <c r="H157" s="4">
        <v>0.69499999999999995</v>
      </c>
      <c r="I157" s="4">
        <v>0.69599999999999995</v>
      </c>
      <c r="J157" s="4">
        <v>0.69799999999999995</v>
      </c>
      <c r="K157" s="4">
        <v>0.70399999999999996</v>
      </c>
      <c r="L157" s="4">
        <v>0.70399999999999996</v>
      </c>
      <c r="M157" s="4">
        <v>0.70899999999999996</v>
      </c>
      <c r="N157" s="4">
        <v>0.71599999999999997</v>
      </c>
      <c r="O157" s="4">
        <v>0.71799999999999997</v>
      </c>
      <c r="P157" s="4">
        <v>0.71899999999999997</v>
      </c>
      <c r="Q157" s="4">
        <v>0.72099999999999997</v>
      </c>
      <c r="R157" s="4">
        <v>0.72299999999999998</v>
      </c>
      <c r="S157" s="4">
        <v>0.72799999999999998</v>
      </c>
      <c r="T157" s="4">
        <v>0.73399999999999999</v>
      </c>
      <c r="U157" s="4">
        <v>0.73699999999999999</v>
      </c>
      <c r="V157" s="4">
        <v>0.74</v>
      </c>
      <c r="W157" s="4">
        <v>0.74199999999999999</v>
      </c>
      <c r="X157" s="4">
        <v>0.73799999999999999</v>
      </c>
      <c r="Y157" s="5">
        <v>0.73899999999999999</v>
      </c>
      <c r="Z157" t="s">
        <v>382</v>
      </c>
      <c r="AA157" t="s">
        <v>505</v>
      </c>
      <c r="AB157">
        <v>21</v>
      </c>
      <c r="AD157">
        <f ca="1"/>
        <v>107</v>
      </c>
    </row>
    <row r="158" spans="1:30" x14ac:dyDescent="0.2">
      <c r="A158" s="6" t="s">
        <v>211</v>
      </c>
      <c r="B158" s="7" t="s">
        <v>212</v>
      </c>
      <c r="C158" s="8">
        <v>0.63700000000000001</v>
      </c>
      <c r="D158" s="8">
        <v>0.64100000000000001</v>
      </c>
      <c r="E158" s="8">
        <v>0.63600000000000001</v>
      </c>
      <c r="F158" s="8">
        <v>0.64300000000000002</v>
      </c>
      <c r="G158" s="8">
        <v>0.64100000000000001</v>
      </c>
      <c r="H158" s="8">
        <v>0.64200000000000002</v>
      </c>
      <c r="I158" s="8">
        <v>0.64300000000000002</v>
      </c>
      <c r="J158" s="8">
        <v>0.64200000000000002</v>
      </c>
      <c r="K158" s="8">
        <v>0.64100000000000001</v>
      </c>
      <c r="L158" s="8">
        <v>0.64200000000000002</v>
      </c>
      <c r="M158" s="8">
        <v>0.64400000000000002</v>
      </c>
      <c r="N158" s="8">
        <v>0.64600000000000002</v>
      </c>
      <c r="O158" s="8">
        <v>0.64400000000000002</v>
      </c>
      <c r="P158" s="8">
        <v>0.64200000000000002</v>
      </c>
      <c r="Q158" s="8">
        <v>0.64</v>
      </c>
      <c r="R158" s="8">
        <v>0.64200000000000002</v>
      </c>
      <c r="S158" s="8">
        <v>0.64300000000000002</v>
      </c>
      <c r="T158" s="8">
        <v>0.64300000000000002</v>
      </c>
      <c r="U158" s="8">
        <v>0.64200000000000002</v>
      </c>
      <c r="V158" s="8">
        <v>0.64</v>
      </c>
      <c r="W158" s="8">
        <v>0.63600000000000001</v>
      </c>
      <c r="X158" s="8">
        <v>0.63400000000000001</v>
      </c>
      <c r="Y158" s="9">
        <v>0.63400000000000001</v>
      </c>
      <c r="Z158" t="s">
        <v>382</v>
      </c>
      <c r="AA158" t="s">
        <v>505</v>
      </c>
      <c r="AB158">
        <v>23</v>
      </c>
      <c r="AD158">
        <f ca="1"/>
        <v>156</v>
      </c>
    </row>
    <row r="159" spans="1:30" x14ac:dyDescent="0.2">
      <c r="A159" s="6" t="s">
        <v>55</v>
      </c>
      <c r="B159" s="7" t="s">
        <v>56</v>
      </c>
      <c r="C159" s="8">
        <v>0.66900000000000004</v>
      </c>
      <c r="D159" s="8">
        <v>0.67</v>
      </c>
      <c r="E159" s="8">
        <v>0.67100000000000004</v>
      </c>
      <c r="F159" s="8">
        <v>0.67500000000000004</v>
      </c>
      <c r="G159" s="8">
        <v>0.68200000000000005</v>
      </c>
      <c r="H159" s="8">
        <v>0.68400000000000005</v>
      </c>
      <c r="I159" s="8">
        <v>0.68700000000000006</v>
      </c>
      <c r="J159" s="8">
        <v>0.68899999999999995</v>
      </c>
      <c r="K159" s="8">
        <v>0.69299999999999995</v>
      </c>
      <c r="L159" s="8">
        <v>0.69599999999999995</v>
      </c>
      <c r="M159" s="8">
        <v>0.69899999999999995</v>
      </c>
      <c r="N159" s="8">
        <v>0.70399999999999996</v>
      </c>
      <c r="O159" s="8">
        <v>0.70699999999999996</v>
      </c>
      <c r="P159" s="8">
        <v>0.71199999999999997</v>
      </c>
      <c r="Q159" s="8">
        <v>0.71499999999999997</v>
      </c>
      <c r="R159" s="8">
        <v>0.71599999999999997</v>
      </c>
      <c r="S159" s="8">
        <v>0.72099999999999997</v>
      </c>
      <c r="T159" s="8">
        <v>0.72799999999999998</v>
      </c>
      <c r="U159" s="8">
        <v>0.73099999999999998</v>
      </c>
      <c r="V159" s="8">
        <v>0.73</v>
      </c>
      <c r="W159" s="8">
        <v>0.72199999999999998</v>
      </c>
      <c r="X159" s="8">
        <v>0.71499999999999997</v>
      </c>
      <c r="Y159" s="9">
        <v>0.72899999999999998</v>
      </c>
      <c r="Z159" t="s">
        <v>382</v>
      </c>
      <c r="AA159" t="s">
        <v>505</v>
      </c>
      <c r="AB159">
        <v>42</v>
      </c>
      <c r="AD159">
        <f ca="1"/>
        <v>31</v>
      </c>
    </row>
    <row r="160" spans="1:30" x14ac:dyDescent="0.2">
      <c r="A160" s="6" t="s">
        <v>323</v>
      </c>
      <c r="B160" s="7" t="s">
        <v>324</v>
      </c>
      <c r="C160" s="8">
        <v>0.89400000000000002</v>
      </c>
      <c r="D160" s="8">
        <v>0.9</v>
      </c>
      <c r="E160" s="8">
        <v>0.90400000000000003</v>
      </c>
      <c r="F160" s="8">
        <v>0.90800000000000003</v>
      </c>
      <c r="G160" s="8">
        <v>0.91200000000000003</v>
      </c>
      <c r="H160" s="8">
        <v>0.91700000000000004</v>
      </c>
      <c r="I160" s="8">
        <v>0.91800000000000004</v>
      </c>
      <c r="J160" s="8">
        <v>0.91900000000000004</v>
      </c>
      <c r="K160" s="8">
        <v>0.91900000000000004</v>
      </c>
      <c r="L160" s="8">
        <v>0.92200000000000004</v>
      </c>
      <c r="M160" s="8">
        <v>0.92400000000000004</v>
      </c>
      <c r="N160" s="8">
        <v>0.92400000000000004</v>
      </c>
      <c r="O160" s="8">
        <v>0.92700000000000005</v>
      </c>
      <c r="P160" s="8">
        <v>0.93</v>
      </c>
      <c r="Q160" s="8">
        <v>0.93100000000000005</v>
      </c>
      <c r="R160" s="8">
        <v>0.93300000000000005</v>
      </c>
      <c r="S160" s="8">
        <v>0.93500000000000005</v>
      </c>
      <c r="T160" s="8">
        <v>0.93500000000000005</v>
      </c>
      <c r="U160" s="8">
        <v>0.93600000000000005</v>
      </c>
      <c r="V160" s="8">
        <v>0.93700000000000006</v>
      </c>
      <c r="W160" s="8">
        <v>0.93500000000000005</v>
      </c>
      <c r="X160" s="8">
        <v>0.93600000000000005</v>
      </c>
      <c r="Y160" s="9">
        <v>0.93899999999999995</v>
      </c>
      <c r="Z160" t="s">
        <v>382</v>
      </c>
      <c r="AA160" t="s">
        <v>504</v>
      </c>
      <c r="AB160">
        <v>49</v>
      </c>
      <c r="AD160">
        <f ca="1"/>
        <v>26</v>
      </c>
    </row>
    <row r="161" spans="1:30" x14ac:dyDescent="0.2">
      <c r="A161" s="6" t="s">
        <v>223</v>
      </c>
      <c r="B161" s="7" t="s">
        <v>224</v>
      </c>
      <c r="C161" s="8">
        <v>0.45600000000000002</v>
      </c>
      <c r="D161" s="8">
        <v>0.45900000000000002</v>
      </c>
      <c r="E161" s="8">
        <v>0.46200000000000002</v>
      </c>
      <c r="F161" s="8">
        <v>0.46700000000000003</v>
      </c>
      <c r="G161" s="8">
        <v>0.46500000000000002</v>
      </c>
      <c r="H161" s="8">
        <v>0.46899999999999997</v>
      </c>
      <c r="I161" s="8">
        <v>0.47099999999999997</v>
      </c>
      <c r="J161" s="8">
        <v>0.47899999999999998</v>
      </c>
      <c r="K161" s="8">
        <v>0.48399999999999999</v>
      </c>
      <c r="L161" s="8">
        <v>0.48899999999999999</v>
      </c>
      <c r="M161" s="8">
        <v>0.497</v>
      </c>
      <c r="N161" s="8">
        <v>0.502</v>
      </c>
      <c r="O161" s="8">
        <v>0.51</v>
      </c>
      <c r="P161" s="8">
        <v>0.51600000000000001</v>
      </c>
      <c r="Q161" s="8">
        <v>0.53100000000000003</v>
      </c>
      <c r="R161" s="8">
        <v>0.54</v>
      </c>
      <c r="S161" s="8">
        <v>0.54700000000000004</v>
      </c>
      <c r="T161" s="8">
        <v>0.55300000000000005</v>
      </c>
      <c r="U161" s="8">
        <v>0.55600000000000005</v>
      </c>
      <c r="V161" s="8">
        <v>0.56200000000000006</v>
      </c>
      <c r="W161" s="8">
        <v>0.56699999999999995</v>
      </c>
      <c r="X161" s="8">
        <v>0.56399999999999995</v>
      </c>
      <c r="Y161" s="9">
        <v>0.56799999999999995</v>
      </c>
      <c r="Z161" t="s">
        <v>382</v>
      </c>
      <c r="AA161" t="s">
        <v>505</v>
      </c>
      <c r="AB161">
        <v>55</v>
      </c>
      <c r="AD161">
        <f ca="1"/>
        <v>14</v>
      </c>
    </row>
    <row r="162" spans="1:30" x14ac:dyDescent="0.2">
      <c r="A162" s="6" t="s">
        <v>235</v>
      </c>
      <c r="B162" s="7" t="s">
        <v>236</v>
      </c>
      <c r="C162" s="8">
        <v>0.59899999999999998</v>
      </c>
      <c r="D162" s="8">
        <v>0.61</v>
      </c>
      <c r="E162" s="8">
        <v>0.622</v>
      </c>
      <c r="F162" s="8">
        <v>0.60799999999999998</v>
      </c>
      <c r="G162" s="8">
        <v>0.61399999999999999</v>
      </c>
      <c r="H162" s="8">
        <v>0.61399999999999999</v>
      </c>
      <c r="I162" s="8">
        <v>0.61599999999999999</v>
      </c>
      <c r="J162" s="8">
        <v>0.61799999999999999</v>
      </c>
      <c r="K162" s="8">
        <v>0.624</v>
      </c>
      <c r="L162" s="8">
        <v>0.622</v>
      </c>
      <c r="M162" s="8">
        <v>0.623</v>
      </c>
      <c r="N162" s="8">
        <v>0.623</v>
      </c>
      <c r="O162" s="8">
        <v>0.63100000000000001</v>
      </c>
      <c r="P162" s="8">
        <v>0.63700000000000001</v>
      </c>
      <c r="Q162" s="8">
        <v>0.63700000000000001</v>
      </c>
      <c r="R162" s="8">
        <v>0.65600000000000003</v>
      </c>
      <c r="S162" s="8">
        <v>0.65100000000000002</v>
      </c>
      <c r="T162" s="8">
        <v>0.65100000000000002</v>
      </c>
      <c r="U162" s="8">
        <v>0.66</v>
      </c>
      <c r="V162" s="8">
        <v>0.65400000000000003</v>
      </c>
      <c r="W162" s="8">
        <v>0.65500000000000003</v>
      </c>
      <c r="X162" s="8">
        <v>0.65300000000000002</v>
      </c>
      <c r="Y162" s="9">
        <v>0.65300000000000002</v>
      </c>
      <c r="Z162" t="s">
        <v>382</v>
      </c>
      <c r="AA162" t="s">
        <v>505</v>
      </c>
      <c r="AB162">
        <v>60</v>
      </c>
      <c r="AD162">
        <f ca="1"/>
        <v>147</v>
      </c>
    </row>
    <row r="163" spans="1:30" x14ac:dyDescent="0.2">
      <c r="A163" s="6" t="s">
        <v>99</v>
      </c>
      <c r="B163" s="7" t="s">
        <v>100</v>
      </c>
      <c r="C163" s="8">
        <v>0.67200000000000004</v>
      </c>
      <c r="D163" s="8">
        <v>0.67900000000000005</v>
      </c>
      <c r="E163" s="8">
        <v>0.67800000000000005</v>
      </c>
      <c r="F163" s="8">
        <v>0.68300000000000005</v>
      </c>
      <c r="G163" s="8">
        <v>0.68799999999999994</v>
      </c>
      <c r="H163" s="8">
        <v>0.69199999999999995</v>
      </c>
      <c r="I163" s="8">
        <v>0.69499999999999995</v>
      </c>
      <c r="J163" s="8">
        <v>0.7</v>
      </c>
      <c r="K163" s="8">
        <v>0.70199999999999996</v>
      </c>
      <c r="L163" s="8">
        <v>0.69299999999999995</v>
      </c>
      <c r="M163" s="8">
        <v>0.70399999999999996</v>
      </c>
      <c r="N163" s="8">
        <v>0.70599999999999996</v>
      </c>
      <c r="O163" s="8">
        <v>0.70299999999999996</v>
      </c>
      <c r="P163" s="8">
        <v>0.70399999999999996</v>
      </c>
      <c r="Q163" s="8">
        <v>0.70699999999999996</v>
      </c>
      <c r="R163" s="8">
        <v>0.71</v>
      </c>
      <c r="S163" s="8">
        <v>0.71399999999999997</v>
      </c>
      <c r="T163" s="8">
        <v>0.71399999999999997</v>
      </c>
      <c r="U163" s="8">
        <v>0.71299999999999997</v>
      </c>
      <c r="V163" s="8">
        <v>0.71199999999999997</v>
      </c>
      <c r="W163" s="8">
        <v>0.71199999999999997</v>
      </c>
      <c r="X163" s="8">
        <v>0.70799999999999996</v>
      </c>
      <c r="Y163" s="9">
        <v>0.70199999999999996</v>
      </c>
      <c r="Z163" t="s">
        <v>382</v>
      </c>
      <c r="AA163" t="s">
        <v>505</v>
      </c>
      <c r="AB163">
        <v>65</v>
      </c>
      <c r="AD163">
        <f ca="1"/>
        <v>77</v>
      </c>
    </row>
    <row r="164" spans="1:30" x14ac:dyDescent="0.2">
      <c r="A164" s="6" t="s">
        <v>227</v>
      </c>
      <c r="B164" s="7" t="s">
        <v>228</v>
      </c>
      <c r="C164" s="8">
        <v>0.48799999999999999</v>
      </c>
      <c r="D164" s="8">
        <v>0.49199999999999999</v>
      </c>
      <c r="E164" s="8">
        <v>0.497</v>
      </c>
      <c r="F164" s="8">
        <v>0.503</v>
      </c>
      <c r="G164" s="8">
        <v>0.51</v>
      </c>
      <c r="H164" s="8">
        <v>0.51600000000000001</v>
      </c>
      <c r="I164" s="8">
        <v>0.52300000000000002</v>
      </c>
      <c r="J164" s="8">
        <v>0.52400000000000002</v>
      </c>
      <c r="K164" s="8">
        <v>0.53300000000000003</v>
      </c>
      <c r="L164" s="8">
        <v>0.54</v>
      </c>
      <c r="M164" s="8">
        <v>0.55300000000000005</v>
      </c>
      <c r="N164" s="8">
        <v>0.55700000000000005</v>
      </c>
      <c r="O164" s="8">
        <v>0.55800000000000005</v>
      </c>
      <c r="P164" s="8">
        <v>0.56299999999999994</v>
      </c>
      <c r="Q164" s="8">
        <v>0.56200000000000006</v>
      </c>
      <c r="R164" s="8">
        <v>0.56200000000000006</v>
      </c>
      <c r="S164" s="8">
        <v>0.56399999999999995</v>
      </c>
      <c r="T164" s="8">
        <v>0.56599999999999995</v>
      </c>
      <c r="U164" s="8">
        <v>0.56799999999999995</v>
      </c>
      <c r="V164" s="8">
        <v>0.56799999999999995</v>
      </c>
      <c r="W164" s="8">
        <v>0.56599999999999995</v>
      </c>
      <c r="X164" s="8">
        <v>0.56399999999999995</v>
      </c>
      <c r="Y164" s="9">
        <v>0.56200000000000006</v>
      </c>
      <c r="Z164" t="s">
        <v>382</v>
      </c>
      <c r="AA164" t="s">
        <v>505</v>
      </c>
      <c r="AB164">
        <v>142</v>
      </c>
      <c r="AD164">
        <f ca="1"/>
        <v>22</v>
      </c>
    </row>
    <row r="165" spans="1:30" x14ac:dyDescent="0.2">
      <c r="A165" s="6" t="s">
        <v>207</v>
      </c>
      <c r="B165" s="7" t="s">
        <v>208</v>
      </c>
      <c r="C165" s="8">
        <v>0.54700000000000004</v>
      </c>
      <c r="D165" s="8">
        <v>0.58699999999999997</v>
      </c>
      <c r="E165" s="8">
        <v>0.58399999999999996</v>
      </c>
      <c r="F165" s="8">
        <v>0.58799999999999997</v>
      </c>
      <c r="G165" s="8">
        <v>0.58499999999999996</v>
      </c>
      <c r="H165" s="8">
        <v>0.58499999999999996</v>
      </c>
      <c r="I165" s="8">
        <v>0.58099999999999996</v>
      </c>
      <c r="J165" s="8">
        <v>0.58199999999999996</v>
      </c>
      <c r="K165" s="8">
        <v>0.58299999999999996</v>
      </c>
      <c r="L165" s="8">
        <v>0.57999999999999996</v>
      </c>
      <c r="M165" s="8">
        <v>0.58399999999999996</v>
      </c>
      <c r="N165" s="8">
        <v>0.58299999999999996</v>
      </c>
      <c r="O165" s="8">
        <v>0.59299999999999997</v>
      </c>
      <c r="P165" s="8">
        <v>0.60199999999999998</v>
      </c>
      <c r="Q165" s="8">
        <v>0.61199999999999999</v>
      </c>
      <c r="R165" s="8">
        <v>0.625</v>
      </c>
      <c r="S165" s="8">
        <v>0.61899999999999999</v>
      </c>
      <c r="T165" s="8">
        <v>0.626</v>
      </c>
      <c r="U165" s="8">
        <v>0.629</v>
      </c>
      <c r="V165" s="8">
        <v>0.63600000000000001</v>
      </c>
      <c r="W165" s="8">
        <v>0.629</v>
      </c>
      <c r="X165" s="8">
        <v>0.627</v>
      </c>
      <c r="Y165" s="9">
        <v>0.628</v>
      </c>
      <c r="Z165" t="s">
        <v>382</v>
      </c>
      <c r="AA165" t="s">
        <v>505</v>
      </c>
      <c r="AB165">
        <v>153</v>
      </c>
      <c r="AD165">
        <f ca="1"/>
        <v>84</v>
      </c>
    </row>
    <row r="166" spans="1:30" x14ac:dyDescent="0.2">
      <c r="A166" s="2" t="s">
        <v>373</v>
      </c>
      <c r="B166" s="3" t="s">
        <v>374</v>
      </c>
      <c r="C166" s="4">
        <v>0.754</v>
      </c>
      <c r="D166" s="4">
        <v>0.76100000000000001</v>
      </c>
      <c r="E166" s="4">
        <v>0.76500000000000001</v>
      </c>
      <c r="F166" s="4">
        <v>0.77100000000000002</v>
      </c>
      <c r="G166" s="4">
        <v>0.77</v>
      </c>
      <c r="H166" s="4">
        <v>0.76800000000000002</v>
      </c>
      <c r="I166" s="4">
        <v>0.76700000000000002</v>
      </c>
      <c r="J166" s="4">
        <v>0.76900000000000002</v>
      </c>
      <c r="K166" s="4">
        <v>0.77300000000000002</v>
      </c>
      <c r="L166" s="4">
        <v>0.77600000000000002</v>
      </c>
      <c r="M166" s="4">
        <v>0.78500000000000003</v>
      </c>
      <c r="N166" s="4">
        <v>0.79100000000000004</v>
      </c>
      <c r="O166" s="4">
        <v>0.79400000000000004</v>
      </c>
      <c r="P166" s="4">
        <v>0.80200000000000005</v>
      </c>
      <c r="Q166" s="4">
        <v>0.80500000000000005</v>
      </c>
      <c r="R166" s="4">
        <v>0.80700000000000005</v>
      </c>
      <c r="S166" s="4">
        <v>0.81100000000000005</v>
      </c>
      <c r="T166" s="4">
        <v>0.81499999999999995</v>
      </c>
      <c r="U166" s="4">
        <v>0.81499999999999995</v>
      </c>
      <c r="V166" s="4">
        <v>0.81799999999999995</v>
      </c>
      <c r="W166" s="4">
        <v>0.82</v>
      </c>
      <c r="X166" s="4">
        <v>0.81399999999999995</v>
      </c>
      <c r="Y166" s="5">
        <v>0.83</v>
      </c>
      <c r="Z166" t="s">
        <v>569</v>
      </c>
      <c r="AA166" t="s">
        <v>505</v>
      </c>
      <c r="AB166">
        <v>26</v>
      </c>
      <c r="AD166">
        <f ca="1"/>
        <v>129</v>
      </c>
    </row>
    <row r="167" spans="1:30" x14ac:dyDescent="0.2">
      <c r="A167" s="6" t="s">
        <v>91</v>
      </c>
      <c r="B167" s="7" t="s">
        <v>92</v>
      </c>
      <c r="C167" s="8">
        <v>0.67500000000000004</v>
      </c>
      <c r="D167" s="8">
        <v>0.68300000000000005</v>
      </c>
      <c r="E167" s="8">
        <v>0.68400000000000005</v>
      </c>
      <c r="F167" s="8">
        <v>0.68300000000000005</v>
      </c>
      <c r="G167" s="8">
        <v>0.69</v>
      </c>
      <c r="H167" s="8">
        <v>0.68500000000000005</v>
      </c>
      <c r="I167" s="8">
        <v>0.69</v>
      </c>
      <c r="J167" s="8">
        <v>0.7</v>
      </c>
      <c r="K167" s="8">
        <v>0.70699999999999996</v>
      </c>
      <c r="L167" s="8">
        <v>0.71099999999999997</v>
      </c>
      <c r="M167" s="8">
        <v>0.72499999999999998</v>
      </c>
      <c r="N167" s="8">
        <v>0.73099999999999998</v>
      </c>
      <c r="O167" s="8">
        <v>0.74099999999999999</v>
      </c>
      <c r="P167" s="8">
        <v>0.749</v>
      </c>
      <c r="Q167" s="8">
        <v>0.754</v>
      </c>
      <c r="R167" s="8">
        <v>0.75800000000000001</v>
      </c>
      <c r="S167" s="8">
        <v>0.76400000000000001</v>
      </c>
      <c r="T167" s="8">
        <v>0.76500000000000001</v>
      </c>
      <c r="U167" s="8">
        <v>0.77</v>
      </c>
      <c r="V167" s="8">
        <v>0.77400000000000002</v>
      </c>
      <c r="W167" s="8">
        <v>0.75800000000000001</v>
      </c>
      <c r="X167" s="8">
        <v>0.755</v>
      </c>
      <c r="Y167" s="9">
        <v>0.76200000000000001</v>
      </c>
      <c r="Z167" t="s">
        <v>569</v>
      </c>
      <c r="AA167" t="s">
        <v>505</v>
      </c>
      <c r="AB167">
        <v>28</v>
      </c>
      <c r="AD167">
        <f ca="1"/>
        <v>55</v>
      </c>
    </row>
    <row r="168" spans="1:30" x14ac:dyDescent="0.2">
      <c r="A168" s="6" t="s">
        <v>291</v>
      </c>
      <c r="B168" s="7" t="s">
        <v>292</v>
      </c>
      <c r="C168" s="8">
        <v>0.76300000000000001</v>
      </c>
      <c r="D168" s="8">
        <v>0.76700000000000002</v>
      </c>
      <c r="E168" s="8">
        <v>0.77500000000000002</v>
      </c>
      <c r="F168" s="8">
        <v>0.78</v>
      </c>
      <c r="G168" s="8">
        <v>0.78700000000000003</v>
      </c>
      <c r="H168" s="8">
        <v>0.79500000000000004</v>
      </c>
      <c r="I168" s="8">
        <v>0.79600000000000004</v>
      </c>
      <c r="J168" s="8">
        <v>0.80100000000000005</v>
      </c>
      <c r="K168" s="8">
        <v>0.81200000000000006</v>
      </c>
      <c r="L168" s="8">
        <v>0.81100000000000005</v>
      </c>
      <c r="M168" s="8">
        <v>0.81299999999999994</v>
      </c>
      <c r="N168" s="8">
        <v>0.81599999999999995</v>
      </c>
      <c r="O168" s="8">
        <v>0.82399999999999995</v>
      </c>
      <c r="P168" s="8">
        <v>0.83699999999999997</v>
      </c>
      <c r="Q168" s="8">
        <v>0.84099999999999997</v>
      </c>
      <c r="R168" s="8">
        <v>0.84599999999999997</v>
      </c>
      <c r="S168" s="8">
        <v>0.85099999999999998</v>
      </c>
      <c r="T168" s="8">
        <v>0.85399999999999998</v>
      </c>
      <c r="U168" s="8">
        <v>0.85599999999999998</v>
      </c>
      <c r="V168" s="8">
        <v>0.85899999999999999</v>
      </c>
      <c r="W168" s="8">
        <v>0.84899999999999998</v>
      </c>
      <c r="X168" s="8">
        <v>0.85599999999999998</v>
      </c>
      <c r="Y168" s="9">
        <v>0.86</v>
      </c>
      <c r="Z168" t="s">
        <v>569</v>
      </c>
      <c r="AA168" t="s">
        <v>505</v>
      </c>
      <c r="AB168">
        <v>52</v>
      </c>
      <c r="AD168">
        <f ca="1"/>
        <v>24</v>
      </c>
    </row>
    <row r="169" spans="1:30" x14ac:dyDescent="0.2">
      <c r="A169" s="6" t="s">
        <v>239</v>
      </c>
      <c r="B169" s="7" t="s">
        <v>240</v>
      </c>
      <c r="C169" s="8">
        <v>0.69899999999999995</v>
      </c>
      <c r="D169" s="8">
        <v>0.70399999999999996</v>
      </c>
      <c r="E169" s="8">
        <v>0.71099999999999997</v>
      </c>
      <c r="F169" s="8">
        <v>0.70199999999999996</v>
      </c>
      <c r="G169" s="8">
        <v>0.71299999999999997</v>
      </c>
      <c r="H169" s="8">
        <v>0.72199999999999998</v>
      </c>
      <c r="I169" s="8">
        <v>0.73</v>
      </c>
      <c r="J169" s="8">
        <v>0.747</v>
      </c>
      <c r="K169" s="8">
        <v>0.754</v>
      </c>
      <c r="L169" s="8">
        <v>0.754</v>
      </c>
      <c r="M169" s="8">
        <v>0.75900000000000001</v>
      </c>
      <c r="N169" s="8">
        <v>0.76600000000000001</v>
      </c>
      <c r="O169" s="8">
        <v>0.76900000000000002</v>
      </c>
      <c r="P169" s="8">
        <v>0.77100000000000002</v>
      </c>
      <c r="Q169" s="8">
        <v>0.76800000000000002</v>
      </c>
      <c r="R169" s="8">
        <v>0.76600000000000001</v>
      </c>
      <c r="S169" s="8">
        <v>0.75900000000000001</v>
      </c>
      <c r="T169" s="8">
        <v>0.75</v>
      </c>
      <c r="U169" s="8">
        <v>0.73799999999999999</v>
      </c>
      <c r="V169" s="8">
        <v>0.72</v>
      </c>
      <c r="W169" s="8">
        <v>0.69099999999999995</v>
      </c>
      <c r="X169" s="8">
        <v>0.69</v>
      </c>
      <c r="Y169" s="9">
        <v>0.69899999999999995</v>
      </c>
      <c r="Z169" t="s">
        <v>569</v>
      </c>
      <c r="AA169" t="s">
        <v>505</v>
      </c>
      <c r="AB169">
        <v>72</v>
      </c>
      <c r="AD169">
        <f ca="1"/>
        <v>165</v>
      </c>
    </row>
    <row r="170" spans="1:30" x14ac:dyDescent="0.2">
      <c r="A170" s="6" t="s">
        <v>39</v>
      </c>
      <c r="B170" s="7" t="s">
        <v>40</v>
      </c>
      <c r="C170" s="8">
        <v>0.66800000000000004</v>
      </c>
      <c r="D170" s="8">
        <v>0.67300000000000004</v>
      </c>
      <c r="E170" s="8">
        <v>0.67800000000000005</v>
      </c>
      <c r="F170" s="8">
        <v>0.68200000000000005</v>
      </c>
      <c r="G170" s="8">
        <v>0.68899999999999995</v>
      </c>
      <c r="H170" s="8">
        <v>0.69599999999999995</v>
      </c>
      <c r="I170" s="8">
        <v>0.70099999999999996</v>
      </c>
      <c r="J170" s="8">
        <v>0.70799999999999996</v>
      </c>
      <c r="K170" s="8">
        <v>0.71399999999999997</v>
      </c>
      <c r="L170" s="8">
        <v>0.71699999999999997</v>
      </c>
      <c r="M170" s="8">
        <v>0.72199999999999998</v>
      </c>
      <c r="N170" s="8">
        <v>0.72699999999999998</v>
      </c>
      <c r="O170" s="8">
        <v>0.73199999999999998</v>
      </c>
      <c r="P170" s="8">
        <v>0.75</v>
      </c>
      <c r="Q170" s="8">
        <v>0.753</v>
      </c>
      <c r="R170" s="8">
        <v>0.752</v>
      </c>
      <c r="S170" s="8">
        <v>0.753</v>
      </c>
      <c r="T170" s="8">
        <v>0.75800000000000001</v>
      </c>
      <c r="U170" s="8">
        <v>0.76200000000000001</v>
      </c>
      <c r="V170" s="8">
        <v>0.76400000000000001</v>
      </c>
      <c r="W170" s="8">
        <v>0.75800000000000001</v>
      </c>
      <c r="X170" s="8">
        <v>0.75600000000000001</v>
      </c>
      <c r="Y170" s="9">
        <v>0.76</v>
      </c>
      <c r="Z170" t="s">
        <v>569</v>
      </c>
      <c r="AA170" t="s">
        <v>505</v>
      </c>
      <c r="AB170">
        <v>83</v>
      </c>
      <c r="AD170">
        <f ca="1"/>
        <v>102</v>
      </c>
    </row>
    <row r="171" spans="1:30" x14ac:dyDescent="0.2">
      <c r="A171" s="2" t="s">
        <v>89</v>
      </c>
      <c r="B171" s="3" t="s">
        <v>90</v>
      </c>
      <c r="C171" s="4">
        <v>0.65600000000000003</v>
      </c>
      <c r="D171" s="4">
        <v>0.66200000000000003</v>
      </c>
      <c r="E171" s="4">
        <v>0.66900000000000004</v>
      </c>
      <c r="F171" s="4">
        <v>0.66300000000000003</v>
      </c>
      <c r="G171" s="4">
        <v>0.67100000000000004</v>
      </c>
      <c r="H171" s="4">
        <v>0.67300000000000004</v>
      </c>
      <c r="I171" s="4">
        <v>0.67400000000000004</v>
      </c>
      <c r="J171" s="4">
        <v>0.68100000000000005</v>
      </c>
      <c r="K171" s="4">
        <v>0.69099999999999995</v>
      </c>
      <c r="L171" s="4">
        <v>0.69099999999999995</v>
      </c>
      <c r="M171" s="4">
        <v>0.7</v>
      </c>
      <c r="N171" s="4">
        <v>0.71099999999999997</v>
      </c>
      <c r="O171" s="4">
        <v>0.71599999999999997</v>
      </c>
      <c r="P171" s="4">
        <v>0.72899999999999998</v>
      </c>
      <c r="Q171" s="4">
        <v>0.73099999999999998</v>
      </c>
      <c r="R171" s="4">
        <v>0.73799999999999999</v>
      </c>
      <c r="S171" s="4">
        <v>0.73599999999999999</v>
      </c>
      <c r="T171" s="4">
        <v>0.73899999999999999</v>
      </c>
      <c r="U171" s="4">
        <v>0.74199999999999999</v>
      </c>
      <c r="V171" s="4">
        <v>0.746</v>
      </c>
      <c r="W171" s="4">
        <v>0.74199999999999999</v>
      </c>
      <c r="X171" s="4">
        <v>0.73</v>
      </c>
      <c r="Y171" s="5">
        <v>0.73099999999999998</v>
      </c>
      <c r="Z171" t="s">
        <v>569</v>
      </c>
      <c r="AA171" t="s">
        <v>505</v>
      </c>
      <c r="AB171">
        <v>87</v>
      </c>
      <c r="AD171">
        <f ca="1"/>
        <v>139</v>
      </c>
    </row>
    <row r="172" spans="1:30" x14ac:dyDescent="0.2">
      <c r="A172" s="6" t="s">
        <v>43</v>
      </c>
      <c r="B172" s="7" t="s">
        <v>44</v>
      </c>
      <c r="C172" s="8">
        <v>0.67200000000000004</v>
      </c>
      <c r="D172" s="8">
        <v>0.67400000000000004</v>
      </c>
      <c r="E172" s="8">
        <v>0.67600000000000005</v>
      </c>
      <c r="F172" s="8">
        <v>0.68300000000000005</v>
      </c>
      <c r="G172" s="8">
        <v>0.68899999999999995</v>
      </c>
      <c r="H172" s="8">
        <v>0.70099999999999996</v>
      </c>
      <c r="I172" s="8">
        <v>0.70299999999999996</v>
      </c>
      <c r="J172" s="8">
        <v>0.71499999999999997</v>
      </c>
      <c r="K172" s="8">
        <v>0.72199999999999998</v>
      </c>
      <c r="L172" s="8">
        <v>0.72799999999999998</v>
      </c>
      <c r="M172" s="8">
        <v>0.73199999999999998</v>
      </c>
      <c r="N172" s="8">
        <v>0.73799999999999999</v>
      </c>
      <c r="O172" s="8">
        <v>0.73899999999999999</v>
      </c>
      <c r="P172" s="8">
        <v>0.75</v>
      </c>
      <c r="Q172" s="8">
        <v>0.755</v>
      </c>
      <c r="R172" s="8">
        <v>0.75800000000000001</v>
      </c>
      <c r="S172" s="8">
        <v>0.76300000000000001</v>
      </c>
      <c r="T172" s="8">
        <v>0.76500000000000001</v>
      </c>
      <c r="U172" s="8">
        <v>0.76600000000000001</v>
      </c>
      <c r="V172" s="8">
        <v>0.76800000000000002</v>
      </c>
      <c r="W172" s="8">
        <v>0.75600000000000001</v>
      </c>
      <c r="X172" s="8">
        <v>0.752</v>
      </c>
      <c r="Y172" s="9">
        <v>0.75800000000000001</v>
      </c>
      <c r="Z172" t="s">
        <v>569</v>
      </c>
      <c r="AA172" t="s">
        <v>505</v>
      </c>
      <c r="AB172">
        <v>91</v>
      </c>
      <c r="AD172">
        <f ca="1"/>
        <v>44</v>
      </c>
    </row>
    <row r="173" spans="1:30" x14ac:dyDescent="0.2">
      <c r="A173" s="2" t="s">
        <v>245</v>
      </c>
      <c r="B173" s="3" t="s">
        <v>246</v>
      </c>
      <c r="C173" s="4">
        <v>0.78</v>
      </c>
      <c r="D173" s="4">
        <v>0.78500000000000003</v>
      </c>
      <c r="E173" s="4">
        <v>0.78500000000000003</v>
      </c>
      <c r="F173" s="4">
        <v>0.79300000000000004</v>
      </c>
      <c r="G173" s="4">
        <v>0.79800000000000004</v>
      </c>
      <c r="H173" s="4">
        <v>0.80200000000000005</v>
      </c>
      <c r="I173" s="4">
        <v>0.81399999999999995</v>
      </c>
      <c r="J173" s="4">
        <v>0.81699999999999995</v>
      </c>
      <c r="K173" s="4">
        <v>0.82499999999999996</v>
      </c>
      <c r="L173" s="4">
        <v>0.82699999999999996</v>
      </c>
      <c r="M173" s="4">
        <v>0.83399999999999996</v>
      </c>
      <c r="N173" s="4">
        <v>0.84199999999999997</v>
      </c>
      <c r="O173" s="4">
        <v>0.84399999999999997</v>
      </c>
      <c r="P173" s="4">
        <v>0.84599999999999997</v>
      </c>
      <c r="Q173" s="4">
        <v>0.84699999999999998</v>
      </c>
      <c r="R173" s="4">
        <v>0.85</v>
      </c>
      <c r="S173" s="4">
        <v>0.84799999999999998</v>
      </c>
      <c r="T173" s="4">
        <v>0.85299999999999998</v>
      </c>
      <c r="U173" s="4">
        <v>0.85199999999999998</v>
      </c>
      <c r="V173" s="4">
        <v>0.85299999999999998</v>
      </c>
      <c r="W173" s="4">
        <v>0.84099999999999997</v>
      </c>
      <c r="X173" s="4">
        <v>0.84399999999999997</v>
      </c>
      <c r="Y173" s="5">
        <v>0.84899999999999998</v>
      </c>
      <c r="Z173" t="s">
        <v>569</v>
      </c>
      <c r="AA173" t="s">
        <v>505</v>
      </c>
      <c r="AB173">
        <v>107</v>
      </c>
      <c r="AD173">
        <f ca="1"/>
        <v>113</v>
      </c>
    </row>
    <row r="174" spans="1:30" x14ac:dyDescent="0.2">
      <c r="A174" s="6" t="s">
        <v>59</v>
      </c>
      <c r="B174" s="7" t="s">
        <v>60</v>
      </c>
      <c r="C174" s="8">
        <v>0.56999999999999995</v>
      </c>
      <c r="D174" s="8">
        <v>0.57799999999999996</v>
      </c>
      <c r="E174" s="8">
        <v>0.58399999999999996</v>
      </c>
      <c r="F174" s="8">
        <v>0.59099999999999997</v>
      </c>
      <c r="G174" s="8">
        <v>0.60399999999999998</v>
      </c>
      <c r="H174" s="8">
        <v>0.61499999999999999</v>
      </c>
      <c r="I174" s="8">
        <v>0.624</v>
      </c>
      <c r="J174" s="8">
        <v>0.63100000000000001</v>
      </c>
      <c r="K174" s="8">
        <v>0.63600000000000001</v>
      </c>
      <c r="L174" s="8">
        <v>0.64100000000000001</v>
      </c>
      <c r="M174" s="8">
        <v>0.65</v>
      </c>
      <c r="N174" s="8">
        <v>0.66300000000000003</v>
      </c>
      <c r="O174" s="8">
        <v>0.66900000000000004</v>
      </c>
      <c r="P174" s="8">
        <v>0.67400000000000004</v>
      </c>
      <c r="Q174" s="8">
        <v>0.68200000000000005</v>
      </c>
      <c r="R174" s="8">
        <v>0.68600000000000005</v>
      </c>
      <c r="S174" s="8">
        <v>0.69299999999999995</v>
      </c>
      <c r="T174" s="8">
        <v>0.69899999999999995</v>
      </c>
      <c r="U174" s="8">
        <v>0.70399999999999996</v>
      </c>
      <c r="V174" s="8">
        <v>0.71099999999999997</v>
      </c>
      <c r="W174" s="8">
        <v>0.72699999999999998</v>
      </c>
      <c r="X174" s="8">
        <v>0.72099999999999997</v>
      </c>
      <c r="Y174" s="9">
        <v>0.74199999999999999</v>
      </c>
      <c r="Z174" t="s">
        <v>569</v>
      </c>
      <c r="AA174" t="s">
        <v>505</v>
      </c>
      <c r="AB174">
        <v>111</v>
      </c>
      <c r="AD174">
        <f ca="1"/>
        <v>86</v>
      </c>
    </row>
    <row r="175" spans="1:30" x14ac:dyDescent="0.2">
      <c r="A175" s="6" t="s">
        <v>51</v>
      </c>
      <c r="B175" s="7" t="s">
        <v>52</v>
      </c>
      <c r="C175" s="8">
        <v>0.68400000000000005</v>
      </c>
      <c r="D175" s="8">
        <v>0.69099999999999995</v>
      </c>
      <c r="E175" s="8">
        <v>0.69699999999999995</v>
      </c>
      <c r="F175" s="8">
        <v>0.70099999999999996</v>
      </c>
      <c r="G175" s="8">
        <v>0.70799999999999996</v>
      </c>
      <c r="H175" s="8">
        <v>0.71399999999999997</v>
      </c>
      <c r="I175" s="8">
        <v>0.71899999999999997</v>
      </c>
      <c r="J175" s="8">
        <v>0.72199999999999998</v>
      </c>
      <c r="K175" s="8">
        <v>0.72799999999999998</v>
      </c>
      <c r="L175" s="8">
        <v>0.73</v>
      </c>
      <c r="M175" s="8">
        <v>0.73599999999999999</v>
      </c>
      <c r="N175" s="8">
        <v>0.74299999999999999</v>
      </c>
      <c r="O175" s="8">
        <v>0.75</v>
      </c>
      <c r="P175" s="8">
        <v>0.755</v>
      </c>
      <c r="Q175" s="8">
        <v>0.75900000000000001</v>
      </c>
      <c r="R175" s="8">
        <v>0.76400000000000001</v>
      </c>
      <c r="S175" s="8">
        <v>0.76100000000000001</v>
      </c>
      <c r="T175" s="8">
        <v>0.76200000000000001</v>
      </c>
      <c r="U175" s="8">
        <v>0.76100000000000001</v>
      </c>
      <c r="V175" s="8">
        <v>0.75800000000000001</v>
      </c>
      <c r="W175" s="8">
        <v>0.73399999999999999</v>
      </c>
      <c r="X175" s="8">
        <v>0.746</v>
      </c>
      <c r="Y175" s="9">
        <v>0.76500000000000001</v>
      </c>
      <c r="Z175" t="s">
        <v>569</v>
      </c>
      <c r="AA175" t="s">
        <v>505</v>
      </c>
      <c r="AB175">
        <v>129</v>
      </c>
      <c r="AD175">
        <f ca="1"/>
        <v>45</v>
      </c>
    </row>
    <row r="176" spans="1:30" x14ac:dyDescent="0.2">
      <c r="A176" s="2" t="s">
        <v>173</v>
      </c>
      <c r="B176" s="3" t="s">
        <v>174</v>
      </c>
      <c r="C176" s="4">
        <v>0.625</v>
      </c>
      <c r="D176" s="4">
        <v>0.625</v>
      </c>
      <c r="E176" s="4">
        <v>0.622</v>
      </c>
      <c r="F176" s="4">
        <v>0.61899999999999999</v>
      </c>
      <c r="G176" s="4">
        <v>0.626</v>
      </c>
      <c r="H176" s="4">
        <v>0.63400000000000001</v>
      </c>
      <c r="I176" s="4">
        <v>0.63700000000000001</v>
      </c>
      <c r="J176" s="4">
        <v>0.64400000000000002</v>
      </c>
      <c r="K176" s="4">
        <v>0.65100000000000002</v>
      </c>
      <c r="L176" s="4">
        <v>0.65700000000000003</v>
      </c>
      <c r="M176" s="4">
        <v>0.66100000000000003</v>
      </c>
      <c r="N176" s="4">
        <v>0.66700000000000004</v>
      </c>
      <c r="O176" s="4">
        <v>0.67300000000000004</v>
      </c>
      <c r="P176" s="4">
        <v>0.68100000000000005</v>
      </c>
      <c r="Q176" s="4">
        <v>0.68300000000000005</v>
      </c>
      <c r="R176" s="4">
        <v>0.68799999999999994</v>
      </c>
      <c r="S176" s="4">
        <v>0.7</v>
      </c>
      <c r="T176" s="4">
        <v>0.70699999999999996</v>
      </c>
      <c r="U176" s="4">
        <v>0.71199999999999997</v>
      </c>
      <c r="V176" s="4">
        <v>0.71499999999999997</v>
      </c>
      <c r="W176" s="4">
        <v>0.69099999999999995</v>
      </c>
      <c r="X176" s="4">
        <v>0.69099999999999995</v>
      </c>
      <c r="Y176" s="5">
        <v>0.69799999999999995</v>
      </c>
      <c r="Z176" t="s">
        <v>569</v>
      </c>
      <c r="AA176" t="s">
        <v>505</v>
      </c>
      <c r="AB176">
        <v>167</v>
      </c>
      <c r="AD176">
        <f ca="1"/>
        <v>56</v>
      </c>
    </row>
  </sheetData>
  <sortState xmlns:xlrd2="http://schemas.microsoft.com/office/spreadsheetml/2017/richdata2" ref="A2:AB176">
    <sortCondition ref="Z2:Z176"/>
    <sortCondition ref="AB2:AB176"/>
  </sortState>
  <pageMargins left="0.7" right="0.7" top="0.78740157499999996" bottom="0.78740157499999996" header="0.3" footer="0.3"/>
  <ignoredErrors>
    <ignoredError sqref="AO17:AO47 AP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B7FB-A362-504D-8B65-94795D4C4966}">
  <dimension ref="A1:AC158"/>
  <sheetViews>
    <sheetView topLeftCell="N22" workbookViewId="0">
      <selection activeCell="AC11" sqref="AC11"/>
    </sheetView>
  </sheetViews>
  <sheetFormatPr baseColWidth="10" defaultRowHeight="15" x14ac:dyDescent="0.2"/>
  <cols>
    <col min="29" max="29" width="20.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375</v>
      </c>
      <c r="AA1" s="1" t="s">
        <v>507</v>
      </c>
      <c r="AB1" s="1" t="s">
        <v>508</v>
      </c>
      <c r="AC1" s="1" t="s">
        <v>567</v>
      </c>
    </row>
    <row r="2" spans="1:29" x14ac:dyDescent="0.2">
      <c r="A2" s="6" t="s">
        <v>187</v>
      </c>
      <c r="B2" s="7" t="s">
        <v>188</v>
      </c>
      <c r="C2" s="8">
        <v>0.51100000000000001</v>
      </c>
      <c r="D2" s="8">
        <v>0.52400000000000002</v>
      </c>
      <c r="E2" s="8">
        <v>0.53900000000000003</v>
      </c>
      <c r="F2" s="8">
        <v>0.54500000000000004</v>
      </c>
      <c r="G2" s="8">
        <v>0.55600000000000005</v>
      </c>
      <c r="H2" s="8">
        <v>0.56999999999999995</v>
      </c>
      <c r="I2" s="8">
        <v>0.58699999999999997</v>
      </c>
      <c r="J2" s="8">
        <v>0.59899999999999998</v>
      </c>
      <c r="K2" s="8">
        <v>0.60599999999999998</v>
      </c>
      <c r="L2" s="8">
        <v>0.61299999999999999</v>
      </c>
      <c r="M2" s="8">
        <v>0.60899999999999999</v>
      </c>
      <c r="N2" s="8">
        <v>0.61799999999999999</v>
      </c>
      <c r="O2" s="8">
        <v>0.628</v>
      </c>
      <c r="P2" s="8">
        <v>0.63300000000000001</v>
      </c>
      <c r="Q2" s="8">
        <v>0.63900000000000001</v>
      </c>
      <c r="R2" s="8">
        <v>0.64800000000000002</v>
      </c>
      <c r="S2" s="8">
        <v>0.65</v>
      </c>
      <c r="T2" s="8">
        <v>0.65</v>
      </c>
      <c r="U2" s="8">
        <v>0.65200000000000002</v>
      </c>
      <c r="V2" s="8">
        <v>0.65300000000000002</v>
      </c>
      <c r="W2" s="8">
        <v>0.65</v>
      </c>
      <c r="X2" s="8">
        <v>0.64700000000000002</v>
      </c>
      <c r="Y2" s="9">
        <v>0.65</v>
      </c>
      <c r="Z2" t="s">
        <v>380</v>
      </c>
      <c r="AA2" t="s">
        <v>505</v>
      </c>
      <c r="AB2">
        <v>4</v>
      </c>
      <c r="AC2">
        <f>LN(_xlfn.XLOOKUP(Sheet2!A2,DataSheet!$G$2:$G$267,DataSheet!$H$2:$H$267))</f>
        <v>8.9344945934050131</v>
      </c>
    </row>
    <row r="3" spans="1:29" x14ac:dyDescent="0.2">
      <c r="A3" s="2" t="s">
        <v>73</v>
      </c>
      <c r="B3" s="3" t="s">
        <v>74</v>
      </c>
      <c r="C3" s="4">
        <v>0.746</v>
      </c>
      <c r="D3" s="4">
        <v>0.748</v>
      </c>
      <c r="E3" s="4">
        <v>0.75</v>
      </c>
      <c r="F3" s="4">
        <v>0.755</v>
      </c>
      <c r="G3" s="4">
        <v>0.75800000000000001</v>
      </c>
      <c r="H3" s="4">
        <v>0.76400000000000001</v>
      </c>
      <c r="I3" s="4">
        <v>0.76800000000000002</v>
      </c>
      <c r="J3" s="4">
        <v>0.77100000000000002</v>
      </c>
      <c r="K3" s="4">
        <v>0.77300000000000002</v>
      </c>
      <c r="L3" s="4">
        <v>0.77200000000000002</v>
      </c>
      <c r="M3" s="4">
        <v>0.77400000000000002</v>
      </c>
      <c r="N3" s="4">
        <v>0.73399999999999999</v>
      </c>
      <c r="O3" s="4">
        <v>0.77700000000000002</v>
      </c>
      <c r="P3" s="4">
        <v>0.76600000000000001</v>
      </c>
      <c r="Q3" s="4">
        <v>0.75</v>
      </c>
      <c r="R3" s="4">
        <v>0.749</v>
      </c>
      <c r="S3" s="4">
        <v>0.746</v>
      </c>
      <c r="T3" s="4">
        <v>0.76100000000000001</v>
      </c>
      <c r="U3" s="4">
        <v>0.76400000000000001</v>
      </c>
      <c r="V3" s="4">
        <v>0.75600000000000001</v>
      </c>
      <c r="W3" s="4">
        <v>0.73699999999999999</v>
      </c>
      <c r="X3" s="4">
        <v>0.746</v>
      </c>
      <c r="Y3" s="5">
        <v>0.746</v>
      </c>
      <c r="Z3" t="s">
        <v>380</v>
      </c>
      <c r="AA3" t="s">
        <v>505</v>
      </c>
      <c r="AB3">
        <v>5</v>
      </c>
      <c r="AC3">
        <f>LN(_xlfn.XLOOKUP(Sheet2!A3,DataSheet!$G$2:$G$267,DataSheet!$H$2:$H$267))</f>
        <v>8.6972850893672984</v>
      </c>
    </row>
    <row r="4" spans="1:29" x14ac:dyDescent="0.2">
      <c r="A4" s="6" t="s">
        <v>167</v>
      </c>
      <c r="B4" s="7" t="s">
        <v>168</v>
      </c>
      <c r="C4" s="8">
        <v>0.436</v>
      </c>
      <c r="D4" s="8">
        <v>0.439</v>
      </c>
      <c r="E4" s="8">
        <v>0.443</v>
      </c>
      <c r="F4" s="8">
        <v>0.44900000000000001</v>
      </c>
      <c r="G4" s="8">
        <v>0.44800000000000001</v>
      </c>
      <c r="H4" s="8">
        <v>0.44600000000000001</v>
      </c>
      <c r="I4" s="8">
        <v>0.45200000000000001</v>
      </c>
      <c r="J4" s="8">
        <v>0.44500000000000001</v>
      </c>
      <c r="K4" s="8">
        <v>0.45200000000000001</v>
      </c>
      <c r="L4" s="8">
        <v>0.46</v>
      </c>
      <c r="M4" s="8">
        <v>0.46899999999999997</v>
      </c>
      <c r="N4" s="8">
        <v>0.48299999999999998</v>
      </c>
      <c r="O4" s="8">
        <v>0.48699999999999999</v>
      </c>
      <c r="P4" s="8">
        <v>0.495</v>
      </c>
      <c r="Q4" s="8">
        <v>0.502</v>
      </c>
      <c r="R4" s="8">
        <v>0.51</v>
      </c>
      <c r="S4" s="8">
        <v>0.51500000000000001</v>
      </c>
      <c r="T4" s="8">
        <v>0.52200000000000002</v>
      </c>
      <c r="U4" s="8">
        <v>0.52800000000000002</v>
      </c>
      <c r="V4" s="8">
        <v>0.53600000000000003</v>
      </c>
      <c r="W4" s="8">
        <v>0.54</v>
      </c>
      <c r="X4" s="8">
        <v>0.54500000000000004</v>
      </c>
      <c r="Y4" s="9">
        <v>0.54700000000000004</v>
      </c>
      <c r="Z4" t="s">
        <v>380</v>
      </c>
      <c r="AA4" t="s">
        <v>505</v>
      </c>
      <c r="AB4">
        <v>6</v>
      </c>
      <c r="AC4">
        <f>LN(_xlfn.XLOOKUP(Sheet2!A4,DataSheet!$G$2:$G$267,DataSheet!$H$2:$H$267))</f>
        <v>6.857758384957017</v>
      </c>
    </row>
    <row r="5" spans="1:29" x14ac:dyDescent="0.2">
      <c r="A5" s="2" t="s">
        <v>193</v>
      </c>
      <c r="B5" s="3" t="s">
        <v>194</v>
      </c>
      <c r="C5" s="4">
        <v>0.5</v>
      </c>
      <c r="D5" s="4">
        <v>0.499</v>
      </c>
      <c r="E5" s="4">
        <v>0.50600000000000001</v>
      </c>
      <c r="F5" s="4">
        <v>0.51</v>
      </c>
      <c r="G5" s="4">
        <v>0.51700000000000002</v>
      </c>
      <c r="H5" s="4">
        <v>0.52900000000000003</v>
      </c>
      <c r="I5" s="4">
        <v>0.53700000000000003</v>
      </c>
      <c r="J5" s="4">
        <v>0.54700000000000004</v>
      </c>
      <c r="K5" s="4">
        <v>0.55800000000000005</v>
      </c>
      <c r="L5" s="4">
        <v>0.56299999999999994</v>
      </c>
      <c r="M5" s="4">
        <v>0.57099999999999995</v>
      </c>
      <c r="N5" s="4">
        <v>0.57899999999999996</v>
      </c>
      <c r="O5" s="4">
        <v>0.58299999999999996</v>
      </c>
      <c r="P5" s="4">
        <v>0.58699999999999997</v>
      </c>
      <c r="Q5" s="4">
        <v>0.58199999999999996</v>
      </c>
      <c r="R5" s="4">
        <v>0.58599999999999997</v>
      </c>
      <c r="S5" s="4">
        <v>0.58599999999999997</v>
      </c>
      <c r="T5" s="4">
        <v>0.58499999999999996</v>
      </c>
      <c r="U5" s="4">
        <v>0.58899999999999997</v>
      </c>
      <c r="V5" s="4">
        <v>0.59899999999999998</v>
      </c>
      <c r="W5" s="4">
        <v>0.60099999999999998</v>
      </c>
      <c r="X5" s="4">
        <v>0.6</v>
      </c>
      <c r="Y5" s="5">
        <v>0.60199999999999998</v>
      </c>
      <c r="Z5" t="s">
        <v>380</v>
      </c>
      <c r="AA5" t="s">
        <v>505</v>
      </c>
      <c r="AB5">
        <v>14</v>
      </c>
      <c r="AC5">
        <f>LN(_xlfn.XLOOKUP(Sheet2!A5,DataSheet!$G$2:$G$267,DataSheet!$H$2:$H$267))</f>
        <v>7.709708087479834</v>
      </c>
    </row>
    <row r="6" spans="1:29" x14ac:dyDescent="0.2">
      <c r="A6" s="6" t="s">
        <v>131</v>
      </c>
      <c r="B6" s="7" t="s">
        <v>132</v>
      </c>
      <c r="C6" s="8">
        <v>0.28599999999999998</v>
      </c>
      <c r="D6" s="8">
        <v>0.29899999999999999</v>
      </c>
      <c r="E6" s="8">
        <v>0.30499999999999999</v>
      </c>
      <c r="F6" s="8">
        <v>0.31</v>
      </c>
      <c r="G6" s="8">
        <v>0.32300000000000001</v>
      </c>
      <c r="H6" s="8">
        <v>0.34300000000000003</v>
      </c>
      <c r="I6" s="8">
        <v>0.35899999999999999</v>
      </c>
      <c r="J6" s="8">
        <v>0.376</v>
      </c>
      <c r="K6" s="8">
        <v>0.39100000000000001</v>
      </c>
      <c r="L6" s="8">
        <v>0.39900000000000002</v>
      </c>
      <c r="M6" s="8">
        <v>0.40899999999999997</v>
      </c>
      <c r="N6" s="8">
        <v>0.41899999999999998</v>
      </c>
      <c r="O6" s="8">
        <v>0.42599999999999999</v>
      </c>
      <c r="P6" s="8">
        <v>0.437</v>
      </c>
      <c r="Q6" s="8">
        <v>0.44500000000000001</v>
      </c>
      <c r="R6" s="8">
        <v>0.45500000000000002</v>
      </c>
      <c r="S6" s="8">
        <v>0.46500000000000002</v>
      </c>
      <c r="T6" s="8">
        <v>0.47199999999999998</v>
      </c>
      <c r="U6" s="8">
        <v>0.47899999999999998</v>
      </c>
      <c r="V6" s="8">
        <v>0.48499999999999999</v>
      </c>
      <c r="W6" s="8">
        <v>0.48899999999999999</v>
      </c>
      <c r="X6" s="8">
        <v>0.48899999999999999</v>
      </c>
      <c r="Y6" s="9">
        <v>0.49199999999999999</v>
      </c>
      <c r="Z6" t="s">
        <v>380</v>
      </c>
      <c r="AA6" t="s">
        <v>505</v>
      </c>
      <c r="AB6">
        <v>17</v>
      </c>
      <c r="AC6">
        <f>LN(_xlfn.XLOOKUP(Sheet2!A6,DataSheet!$G$2:$G$267,DataSheet!$H$2:$H$267))</f>
        <v>6.8896963557899475</v>
      </c>
    </row>
    <row r="7" spans="1:29" x14ac:dyDescent="0.2">
      <c r="A7" s="2" t="s">
        <v>137</v>
      </c>
      <c r="B7" s="3" t="s">
        <v>138</v>
      </c>
      <c r="C7" s="4">
        <v>0.29199999999999998</v>
      </c>
      <c r="D7" s="4">
        <v>0.30199999999999999</v>
      </c>
      <c r="E7" s="4">
        <v>0.309</v>
      </c>
      <c r="F7" s="4">
        <v>0.309</v>
      </c>
      <c r="G7" s="4">
        <v>0.32700000000000001</v>
      </c>
      <c r="H7" s="4">
        <v>0.32900000000000001</v>
      </c>
      <c r="I7" s="4">
        <v>0.32800000000000001</v>
      </c>
      <c r="J7" s="4">
        <v>0.33900000000000002</v>
      </c>
      <c r="K7" s="4">
        <v>0.34300000000000003</v>
      </c>
      <c r="L7" s="4">
        <v>0.35699999999999998</v>
      </c>
      <c r="M7" s="4">
        <v>0.36399999999999999</v>
      </c>
      <c r="N7" s="4">
        <v>0.373</v>
      </c>
      <c r="O7" s="4">
        <v>0.38100000000000001</v>
      </c>
      <c r="P7" s="4">
        <v>0.38500000000000001</v>
      </c>
      <c r="Q7" s="4">
        <v>0.39200000000000002</v>
      </c>
      <c r="R7" s="4">
        <v>0.38800000000000001</v>
      </c>
      <c r="S7" s="4">
        <v>0.38800000000000001</v>
      </c>
      <c r="T7" s="4">
        <v>0.38900000000000001</v>
      </c>
      <c r="U7" s="4">
        <v>0.39300000000000002</v>
      </c>
      <c r="V7" s="4">
        <v>0.39800000000000002</v>
      </c>
      <c r="W7" s="4">
        <v>0.39600000000000002</v>
      </c>
      <c r="X7" s="4">
        <v>0.39300000000000002</v>
      </c>
      <c r="Y7" s="5">
        <v>0.39400000000000002</v>
      </c>
      <c r="Z7" t="s">
        <v>380</v>
      </c>
      <c r="AA7" t="s">
        <v>505</v>
      </c>
      <c r="AB7">
        <v>19</v>
      </c>
      <c r="AC7">
        <f>LN(_xlfn.XLOOKUP(Sheet2!A7,DataSheet!$G$2:$G$267,DataSheet!$H$2:$H$267))</f>
        <v>6.8732015850527413</v>
      </c>
    </row>
    <row r="8" spans="1:29" x14ac:dyDescent="0.2">
      <c r="A8" s="2" t="s">
        <v>213</v>
      </c>
      <c r="B8" s="3" t="s">
        <v>214</v>
      </c>
      <c r="C8" s="4">
        <v>0.52500000000000002</v>
      </c>
      <c r="D8" s="4">
        <v>0.53600000000000003</v>
      </c>
      <c r="E8" s="4">
        <v>0.54700000000000004</v>
      </c>
      <c r="F8" s="4">
        <v>0.55700000000000005</v>
      </c>
      <c r="G8" s="4">
        <v>0.56399999999999995</v>
      </c>
      <c r="H8" s="4">
        <v>0.56999999999999995</v>
      </c>
      <c r="I8" s="4">
        <v>0.57599999999999996</v>
      </c>
      <c r="J8" s="4">
        <v>0.58299999999999996</v>
      </c>
      <c r="K8" s="4">
        <v>0.59</v>
      </c>
      <c r="L8" s="4">
        <v>0.59599999999999997</v>
      </c>
      <c r="M8" s="4">
        <v>0.60399999999999998</v>
      </c>
      <c r="N8" s="4">
        <v>0.61599999999999999</v>
      </c>
      <c r="O8" s="4">
        <v>0.626</v>
      </c>
      <c r="P8" s="4">
        <v>0.63600000000000001</v>
      </c>
      <c r="Q8" s="4">
        <v>0.64500000000000002</v>
      </c>
      <c r="R8" s="4">
        <v>0.65600000000000003</v>
      </c>
      <c r="S8" s="4">
        <v>0.66200000000000003</v>
      </c>
      <c r="T8" s="4">
        <v>0.67100000000000004</v>
      </c>
      <c r="U8" s="4">
        <v>0.67700000000000005</v>
      </c>
      <c r="V8" s="4">
        <v>0.68400000000000005</v>
      </c>
      <c r="W8" s="4">
        <v>0.68300000000000005</v>
      </c>
      <c r="X8" s="4">
        <v>0.68799999999999994</v>
      </c>
      <c r="Y8" s="5">
        <v>0.69799999999999995</v>
      </c>
      <c r="Z8" t="s">
        <v>380</v>
      </c>
      <c r="AA8" t="s">
        <v>505</v>
      </c>
      <c r="AB8">
        <v>25</v>
      </c>
      <c r="AC8">
        <f>LN(_xlfn.XLOOKUP(Sheet2!A8,DataSheet!$G$2:$G$267,DataSheet!$H$2:$H$267))</f>
        <v>8.1499303068229754</v>
      </c>
    </row>
    <row r="9" spans="1:29" x14ac:dyDescent="0.2">
      <c r="A9" s="6" t="s">
        <v>139</v>
      </c>
      <c r="B9" s="7" t="s">
        <v>140</v>
      </c>
      <c r="C9" s="8">
        <v>0.45600000000000002</v>
      </c>
      <c r="D9" s="8">
        <v>0.45200000000000001</v>
      </c>
      <c r="E9" s="8">
        <v>0.44900000000000001</v>
      </c>
      <c r="F9" s="8">
        <v>0.45</v>
      </c>
      <c r="G9" s="8">
        <v>0.44800000000000001</v>
      </c>
      <c r="H9" s="8">
        <v>0.44700000000000001</v>
      </c>
      <c r="I9" s="8">
        <v>0.44400000000000001</v>
      </c>
      <c r="J9" s="8">
        <v>0.45</v>
      </c>
      <c r="K9" s="8">
        <v>0.45300000000000001</v>
      </c>
      <c r="L9" s="8">
        <v>0.45700000000000002</v>
      </c>
      <c r="M9" s="8">
        <v>0.47</v>
      </c>
      <c r="N9" s="8">
        <v>0.47799999999999998</v>
      </c>
      <c r="O9" s="8">
        <v>0.48899999999999999</v>
      </c>
      <c r="P9" s="8">
        <v>0.49399999999999999</v>
      </c>
      <c r="Q9" s="8">
        <v>0.5</v>
      </c>
      <c r="R9" s="8">
        <v>0.50800000000000001</v>
      </c>
      <c r="S9" s="8">
        <v>0.51800000000000002</v>
      </c>
      <c r="T9" s="8">
        <v>0.52200000000000002</v>
      </c>
      <c r="U9" s="8">
        <v>0.52500000000000002</v>
      </c>
      <c r="V9" s="8">
        <v>0.52800000000000002</v>
      </c>
      <c r="W9" s="8">
        <v>0.53</v>
      </c>
      <c r="X9" s="8">
        <v>0.52200000000000002</v>
      </c>
      <c r="Y9" s="9">
        <v>0.52100000000000002</v>
      </c>
      <c r="Z9" t="s">
        <v>380</v>
      </c>
      <c r="AA9" t="s">
        <v>505</v>
      </c>
      <c r="AB9">
        <v>30</v>
      </c>
      <c r="AC9">
        <f>LN(_xlfn.XLOOKUP(Sheet2!A9,DataSheet!$G$2:$G$267,DataSheet!$H$2:$H$267))</f>
        <v>6.9374362388106832</v>
      </c>
    </row>
    <row r="10" spans="1:29" x14ac:dyDescent="0.2">
      <c r="A10" s="6" t="s">
        <v>163</v>
      </c>
      <c r="B10" s="7" t="s">
        <v>164</v>
      </c>
      <c r="C10" s="8">
        <v>0.42</v>
      </c>
      <c r="D10" s="8">
        <v>0.42799999999999999</v>
      </c>
      <c r="E10" s="8">
        <v>0.434</v>
      </c>
      <c r="F10" s="8">
        <v>0.438</v>
      </c>
      <c r="G10" s="8">
        <v>0.441</v>
      </c>
      <c r="H10" s="8">
        <v>0.44800000000000001</v>
      </c>
      <c r="I10" s="8">
        <v>0.46600000000000003</v>
      </c>
      <c r="J10" s="8">
        <v>0.47199999999999998</v>
      </c>
      <c r="K10" s="8">
        <v>0.48</v>
      </c>
      <c r="L10" s="8">
        <v>0.48899999999999999</v>
      </c>
      <c r="M10" s="8">
        <v>0.48899999999999999</v>
      </c>
      <c r="N10" s="8">
        <v>0.49099999999999999</v>
      </c>
      <c r="O10" s="8">
        <v>0.498</v>
      </c>
      <c r="P10" s="8">
        <v>0.503</v>
      </c>
      <c r="Q10" s="8">
        <v>0.51100000000000001</v>
      </c>
      <c r="R10" s="8">
        <v>0.51400000000000001</v>
      </c>
      <c r="S10" s="8">
        <v>0.51700000000000002</v>
      </c>
      <c r="T10" s="8">
        <v>0.52</v>
      </c>
      <c r="U10" s="8">
        <v>0.52</v>
      </c>
      <c r="V10" s="8">
        <v>0.52100000000000002</v>
      </c>
      <c r="W10" s="8">
        <v>0.51800000000000002</v>
      </c>
      <c r="X10" s="8">
        <v>0.51600000000000001</v>
      </c>
      <c r="Y10" s="9">
        <v>0.51600000000000001</v>
      </c>
      <c r="Z10" t="s">
        <v>380</v>
      </c>
      <c r="AA10" t="s">
        <v>505</v>
      </c>
      <c r="AB10">
        <v>32</v>
      </c>
      <c r="AC10">
        <f>LN(_xlfn.XLOOKUP(Sheet2!A10,DataSheet!$G$2:$G$267,DataSheet!$H$2:$H$267))</f>
        <v>6.9529588666877009</v>
      </c>
    </row>
    <row r="11" spans="1:29" x14ac:dyDescent="0.2">
      <c r="A11" s="2" t="s">
        <v>237</v>
      </c>
      <c r="B11" s="3" t="s">
        <v>238</v>
      </c>
      <c r="C11" s="4">
        <v>0.39200000000000002</v>
      </c>
      <c r="D11" s="4">
        <v>0.40200000000000002</v>
      </c>
      <c r="E11" s="4">
        <v>0.41399999999999998</v>
      </c>
      <c r="F11" s="4">
        <v>0.42699999999999999</v>
      </c>
      <c r="G11" s="4">
        <v>0.441</v>
      </c>
      <c r="H11" s="4">
        <v>0.45100000000000001</v>
      </c>
      <c r="I11" s="4">
        <v>0.46300000000000002</v>
      </c>
      <c r="J11" s="4">
        <v>0.47299999999999998</v>
      </c>
      <c r="K11" s="4">
        <v>0.48099999999999998</v>
      </c>
      <c r="L11" s="4">
        <v>0.49099999999999999</v>
      </c>
      <c r="M11" s="4">
        <v>0.5</v>
      </c>
      <c r="N11" s="4">
        <v>0.504</v>
      </c>
      <c r="O11" s="4">
        <v>0.504</v>
      </c>
      <c r="P11" s="4">
        <v>0.51100000000000001</v>
      </c>
      <c r="Q11" s="4">
        <v>0.51800000000000002</v>
      </c>
      <c r="R11" s="4">
        <v>0.52500000000000002</v>
      </c>
      <c r="S11" s="4">
        <v>0.53100000000000003</v>
      </c>
      <c r="T11" s="4">
        <v>0.53400000000000003</v>
      </c>
      <c r="U11" s="4">
        <v>0.53900000000000003</v>
      </c>
      <c r="V11" s="4">
        <v>0.54400000000000004</v>
      </c>
      <c r="W11" s="4">
        <v>0.54500000000000004</v>
      </c>
      <c r="X11" s="4">
        <v>0.54500000000000004</v>
      </c>
      <c r="Y11" s="5">
        <v>0.55000000000000004</v>
      </c>
      <c r="Z11" t="s">
        <v>380</v>
      </c>
      <c r="AA11" t="s">
        <v>505</v>
      </c>
      <c r="AB11">
        <v>33</v>
      </c>
      <c r="AC11">
        <f>LN(_xlfn.XLOOKUP(Sheet2!A11,DataSheet!$G$2:$G$267,DataSheet!$H$2:$H$267))</f>
        <v>6.8701233096667389</v>
      </c>
    </row>
    <row r="12" spans="1:29" x14ac:dyDescent="0.2">
      <c r="A12" s="2" t="s">
        <v>53</v>
      </c>
      <c r="B12" s="3" t="s">
        <v>54</v>
      </c>
      <c r="C12" s="4">
        <v>0.629</v>
      </c>
      <c r="D12" s="4">
        <v>0.63300000000000001</v>
      </c>
      <c r="E12" s="4">
        <v>0.63400000000000001</v>
      </c>
      <c r="F12" s="4">
        <v>0.63200000000000001</v>
      </c>
      <c r="G12" s="4">
        <v>0.63500000000000001</v>
      </c>
      <c r="H12" s="4">
        <v>0.63700000000000001</v>
      </c>
      <c r="I12" s="4">
        <v>0.64200000000000002</v>
      </c>
      <c r="J12" s="4">
        <v>0.64900000000000002</v>
      </c>
      <c r="K12" s="4">
        <v>0.65600000000000003</v>
      </c>
      <c r="L12" s="4">
        <v>0.66100000000000003</v>
      </c>
      <c r="M12" s="4">
        <v>0.66700000000000004</v>
      </c>
      <c r="N12" s="4">
        <v>0.67100000000000004</v>
      </c>
      <c r="O12" s="4">
        <v>0.67900000000000005</v>
      </c>
      <c r="P12" s="4">
        <v>0.68400000000000005</v>
      </c>
      <c r="Q12" s="4">
        <v>0.68799999999999994</v>
      </c>
      <c r="R12" s="4">
        <v>0.69499999999999995</v>
      </c>
      <c r="S12" s="4">
        <v>0.70199999999999996</v>
      </c>
      <c r="T12" s="4">
        <v>0.70899999999999996</v>
      </c>
      <c r="U12" s="4">
        <v>0.71699999999999997</v>
      </c>
      <c r="V12" s="4">
        <v>0.72399999999999998</v>
      </c>
      <c r="W12" s="4">
        <v>0.72899999999999998</v>
      </c>
      <c r="X12" s="4">
        <v>0.72599999999999998</v>
      </c>
      <c r="Y12" s="5">
        <v>0.72799999999999998</v>
      </c>
      <c r="Z12" t="s">
        <v>380</v>
      </c>
      <c r="AA12" t="s">
        <v>505</v>
      </c>
      <c r="AB12">
        <v>34</v>
      </c>
      <c r="AC12">
        <f>LN(_xlfn.XLOOKUP(Sheet2!A12,DataSheet!$G$2:$G$267,DataSheet!$H$2:$H$267))</f>
        <v>8.350738961713196</v>
      </c>
    </row>
    <row r="13" spans="1:29" x14ac:dyDescent="0.2">
      <c r="A13" s="6" t="s">
        <v>151</v>
      </c>
      <c r="B13" s="7" t="s">
        <v>152</v>
      </c>
      <c r="C13" s="8">
        <v>0.30299999999999999</v>
      </c>
      <c r="D13" s="8">
        <v>0.317</v>
      </c>
      <c r="E13" s="8">
        <v>0.32500000000000001</v>
      </c>
      <c r="F13" s="8">
        <v>0.33900000000000002</v>
      </c>
      <c r="G13" s="8">
        <v>0.34899999999999998</v>
      </c>
      <c r="H13" s="8">
        <v>0.35899999999999999</v>
      </c>
      <c r="I13" s="8">
        <v>0.36699999999999999</v>
      </c>
      <c r="J13" s="8">
        <v>0.38</v>
      </c>
      <c r="K13" s="8">
        <v>0.39100000000000001</v>
      </c>
      <c r="L13" s="8">
        <v>0.4</v>
      </c>
      <c r="M13" s="8">
        <v>0.40699999999999997</v>
      </c>
      <c r="N13" s="8">
        <v>0.41199999999999998</v>
      </c>
      <c r="O13" s="8">
        <v>0.41799999999999998</v>
      </c>
      <c r="P13" s="8">
        <v>0.432</v>
      </c>
      <c r="Q13" s="8">
        <v>0.438</v>
      </c>
      <c r="R13" s="8">
        <v>0.44500000000000001</v>
      </c>
      <c r="S13" s="8">
        <v>0.44800000000000001</v>
      </c>
      <c r="T13" s="8">
        <v>0.45</v>
      </c>
      <c r="U13" s="8">
        <v>0.45800000000000002</v>
      </c>
      <c r="V13" s="8">
        <v>0.46500000000000002</v>
      </c>
      <c r="W13" s="8">
        <v>0.46700000000000003</v>
      </c>
      <c r="X13" s="8">
        <v>0.45900000000000002</v>
      </c>
      <c r="Y13" s="9">
        <v>0.46100000000000002</v>
      </c>
      <c r="Z13" t="s">
        <v>380</v>
      </c>
      <c r="AA13" t="s">
        <v>505</v>
      </c>
      <c r="AB13">
        <v>37</v>
      </c>
      <c r="AC13">
        <f>LN(_xlfn.XLOOKUP(Sheet2!A13,DataSheet!$G$2:$G$267,DataSheet!$H$2:$H$267))</f>
        <v>6.360009178755484</v>
      </c>
    </row>
    <row r="14" spans="1:29" x14ac:dyDescent="0.2">
      <c r="A14" s="6" t="s">
        <v>123</v>
      </c>
      <c r="B14" s="7" t="s">
        <v>124</v>
      </c>
      <c r="C14" s="8">
        <v>0.31900000000000001</v>
      </c>
      <c r="D14" s="8">
        <v>0.32100000000000001</v>
      </c>
      <c r="E14" s="8">
        <v>0.32200000000000001</v>
      </c>
      <c r="F14" s="8">
        <v>0.32200000000000001</v>
      </c>
      <c r="G14" s="8">
        <v>0.32600000000000001</v>
      </c>
      <c r="H14" s="8">
        <v>0.33</v>
      </c>
      <c r="I14" s="8">
        <v>0.33300000000000002</v>
      </c>
      <c r="J14" s="8">
        <v>0.33900000000000002</v>
      </c>
      <c r="K14" s="8">
        <v>0.34499999999999997</v>
      </c>
      <c r="L14" s="8">
        <v>0.35</v>
      </c>
      <c r="M14" s="8">
        <v>0.35699999999999998</v>
      </c>
      <c r="N14" s="8">
        <v>0.36499999999999999</v>
      </c>
      <c r="O14" s="8">
        <v>0.372</v>
      </c>
      <c r="P14" s="8">
        <v>0.35199999999999998</v>
      </c>
      <c r="Q14" s="8">
        <v>0.35399999999999998</v>
      </c>
      <c r="R14" s="8">
        <v>0.36699999999999999</v>
      </c>
      <c r="S14" s="8">
        <v>0.373</v>
      </c>
      <c r="T14" s="8">
        <v>0.379</v>
      </c>
      <c r="U14" s="8">
        <v>0.38600000000000001</v>
      </c>
      <c r="V14" s="8">
        <v>0.39100000000000001</v>
      </c>
      <c r="W14" s="8">
        <v>0.38900000000000001</v>
      </c>
      <c r="X14" s="8">
        <v>0.38700000000000001</v>
      </c>
      <c r="Y14" s="9">
        <v>0.38700000000000001</v>
      </c>
      <c r="Z14" t="s">
        <v>380</v>
      </c>
      <c r="AA14" t="s">
        <v>505</v>
      </c>
      <c r="AB14">
        <v>38</v>
      </c>
      <c r="AC14">
        <f>LN(_xlfn.XLOOKUP(Sheet2!A14,DataSheet!$G$2:$G$267,DataSheet!$H$2:$H$267))</f>
        <v>6.1470994641956773</v>
      </c>
    </row>
    <row r="15" spans="1:29" x14ac:dyDescent="0.2">
      <c r="A15" s="2" t="s">
        <v>205</v>
      </c>
      <c r="B15" s="3" t="s">
        <v>206</v>
      </c>
      <c r="C15" s="4">
        <v>0.48699999999999999</v>
      </c>
      <c r="D15" s="4">
        <v>0.49</v>
      </c>
      <c r="E15" s="4">
        <v>0.49</v>
      </c>
      <c r="F15" s="4">
        <v>0.501</v>
      </c>
      <c r="G15" s="4">
        <v>0.51300000000000001</v>
      </c>
      <c r="H15" s="4">
        <v>0.52100000000000002</v>
      </c>
      <c r="I15" s="4">
        <v>0.53100000000000003</v>
      </c>
      <c r="J15" s="4">
        <v>0.54</v>
      </c>
      <c r="K15" s="4">
        <v>0.54600000000000004</v>
      </c>
      <c r="L15" s="4">
        <v>0.54600000000000004</v>
      </c>
      <c r="M15" s="4">
        <v>0.54500000000000004</v>
      </c>
      <c r="N15" s="4">
        <v>0.55200000000000005</v>
      </c>
      <c r="O15" s="4">
        <v>0.55700000000000005</v>
      </c>
      <c r="P15" s="4">
        <v>0.56200000000000006</v>
      </c>
      <c r="Q15" s="4">
        <v>0.56899999999999995</v>
      </c>
      <c r="R15" s="4">
        <v>0.57499999999999996</v>
      </c>
      <c r="S15" s="4">
        <v>0.58599999999999997</v>
      </c>
      <c r="T15" s="4">
        <v>0.59099999999999997</v>
      </c>
      <c r="U15" s="4">
        <v>0.59799999999999998</v>
      </c>
      <c r="V15" s="4">
        <v>0.60399999999999998</v>
      </c>
      <c r="W15" s="4">
        <v>0.59899999999999998</v>
      </c>
      <c r="X15" s="4">
        <v>0.59599999999999997</v>
      </c>
      <c r="Y15" s="5">
        <v>0.60099999999999998</v>
      </c>
      <c r="Z15" t="s">
        <v>380</v>
      </c>
      <c r="AA15" t="s">
        <v>505</v>
      </c>
      <c r="AB15">
        <v>45</v>
      </c>
      <c r="AC15">
        <f>LN(_xlfn.XLOOKUP(Sheet2!A15,DataSheet!$G$2:$G$267,DataSheet!$H$2:$H$267))</f>
        <v>7.6542360438718395</v>
      </c>
    </row>
    <row r="16" spans="1:29" x14ac:dyDescent="0.2">
      <c r="A16" s="2" t="s">
        <v>181</v>
      </c>
      <c r="B16" s="3" t="s">
        <v>182</v>
      </c>
      <c r="C16" s="4">
        <v>0.45800000000000002</v>
      </c>
      <c r="D16" s="4">
        <v>0.46600000000000003</v>
      </c>
      <c r="E16" s="4">
        <v>0.47199999999999998</v>
      </c>
      <c r="F16" s="4">
        <v>0.47799999999999998</v>
      </c>
      <c r="G16" s="4">
        <v>0.48399999999999999</v>
      </c>
      <c r="H16" s="4">
        <v>0.49099999999999999</v>
      </c>
      <c r="I16" s="4">
        <v>0.497</v>
      </c>
      <c r="J16" s="4">
        <v>0.503</v>
      </c>
      <c r="K16" s="4">
        <v>0.51</v>
      </c>
      <c r="L16" s="4">
        <v>0.51700000000000002</v>
      </c>
      <c r="M16" s="4">
        <v>0.52400000000000002</v>
      </c>
      <c r="N16" s="4">
        <v>0.53200000000000003</v>
      </c>
      <c r="O16" s="4">
        <v>0.53800000000000003</v>
      </c>
      <c r="P16" s="4">
        <v>0.54600000000000004</v>
      </c>
      <c r="Q16" s="4">
        <v>0.55100000000000005</v>
      </c>
      <c r="R16" s="4">
        <v>0.55600000000000005</v>
      </c>
      <c r="S16" s="4">
        <v>0.56299999999999994</v>
      </c>
      <c r="T16" s="4">
        <v>0.57099999999999995</v>
      </c>
      <c r="U16" s="4">
        <v>0.57799999999999996</v>
      </c>
      <c r="V16" s="4">
        <v>0.58399999999999996</v>
      </c>
      <c r="W16" s="4">
        <v>0.58799999999999997</v>
      </c>
      <c r="X16" s="4">
        <v>0.58499999999999996</v>
      </c>
      <c r="Y16" s="5">
        <v>0.58599999999999997</v>
      </c>
      <c r="Z16" t="s">
        <v>380</v>
      </c>
      <c r="AA16" t="s">
        <v>505</v>
      </c>
      <c r="AB16">
        <v>47</v>
      </c>
      <c r="AC16">
        <f>LN(_xlfn.XLOOKUP(Sheet2!A16,DataSheet!$G$2:$G$267,DataSheet!$H$2:$H$267))</f>
        <v>7.2899378671851123</v>
      </c>
    </row>
    <row r="17" spans="1:29" x14ac:dyDescent="0.2">
      <c r="A17" s="2" t="s">
        <v>225</v>
      </c>
      <c r="B17" s="3" t="s">
        <v>226</v>
      </c>
      <c r="C17" s="4">
        <v>0.498</v>
      </c>
      <c r="D17" s="4">
        <v>0.504</v>
      </c>
      <c r="E17" s="4">
        <v>0.50800000000000001</v>
      </c>
      <c r="F17" s="4">
        <v>0.51600000000000001</v>
      </c>
      <c r="G17" s="4">
        <v>0.52200000000000002</v>
      </c>
      <c r="H17" s="4">
        <v>0.52900000000000003</v>
      </c>
      <c r="I17" s="4">
        <v>0.53900000000000003</v>
      </c>
      <c r="J17" s="4">
        <v>0.54300000000000004</v>
      </c>
      <c r="K17" s="4">
        <v>0.54400000000000004</v>
      </c>
      <c r="L17" s="4">
        <v>0.55000000000000004</v>
      </c>
      <c r="M17" s="4">
        <v>0.55300000000000005</v>
      </c>
      <c r="N17" s="4">
        <v>0.55600000000000005</v>
      </c>
      <c r="O17" s="4">
        <v>0.56200000000000006</v>
      </c>
      <c r="P17" s="4">
        <v>0.57299999999999995</v>
      </c>
      <c r="Q17" s="4">
        <v>0.58399999999999996</v>
      </c>
      <c r="R17" s="4">
        <v>0.59499999999999997</v>
      </c>
      <c r="S17" s="4">
        <v>0.59899999999999998</v>
      </c>
      <c r="T17" s="4">
        <v>0.60399999999999998</v>
      </c>
      <c r="U17" s="4">
        <v>0.60699999999999998</v>
      </c>
      <c r="V17" s="4">
        <v>0.60799999999999998</v>
      </c>
      <c r="W17" s="4">
        <v>0.60899999999999999</v>
      </c>
      <c r="X17" s="4">
        <v>0.60899999999999999</v>
      </c>
      <c r="Y17" s="5">
        <v>0.61299999999999999</v>
      </c>
      <c r="Z17" t="s">
        <v>380</v>
      </c>
      <c r="AA17" t="s">
        <v>505</v>
      </c>
      <c r="AB17">
        <v>48</v>
      </c>
      <c r="AC17">
        <f>LN(_xlfn.XLOOKUP(Sheet2!A17,DataSheet!$G$2:$G$267,DataSheet!$H$2:$H$267))</f>
        <v>7.7789387225663233</v>
      </c>
    </row>
    <row r="18" spans="1:29" x14ac:dyDescent="0.2">
      <c r="A18" s="2" t="s">
        <v>133</v>
      </c>
      <c r="B18" s="3" t="s">
        <v>134</v>
      </c>
      <c r="C18" s="4">
        <v>0.39200000000000002</v>
      </c>
      <c r="D18" s="4">
        <v>0.39800000000000002</v>
      </c>
      <c r="E18" s="4">
        <v>0.40200000000000002</v>
      </c>
      <c r="F18" s="4">
        <v>0.40799999999999997</v>
      </c>
      <c r="G18" s="4">
        <v>0.41899999999999998</v>
      </c>
      <c r="H18" s="4">
        <v>0.42199999999999999</v>
      </c>
      <c r="I18" s="4">
        <v>0.42699999999999999</v>
      </c>
      <c r="J18" s="4">
        <v>0.433</v>
      </c>
      <c r="K18" s="4">
        <v>0.442</v>
      </c>
      <c r="L18" s="4">
        <v>0.44600000000000001</v>
      </c>
      <c r="M18" s="4">
        <v>0.44900000000000001</v>
      </c>
      <c r="N18" s="4">
        <v>0.45</v>
      </c>
      <c r="O18" s="4">
        <v>0.45700000000000002</v>
      </c>
      <c r="P18" s="4">
        <v>0.46100000000000002</v>
      </c>
      <c r="Q18" s="4">
        <v>0.46200000000000002</v>
      </c>
      <c r="R18" s="4">
        <v>0.46700000000000003</v>
      </c>
      <c r="S18" s="4">
        <v>0.47199999999999998</v>
      </c>
      <c r="T18" s="4">
        <v>0.47699999999999998</v>
      </c>
      <c r="U18" s="4">
        <v>0.48299999999999998</v>
      </c>
      <c r="V18" s="4">
        <v>0.49199999999999999</v>
      </c>
      <c r="W18" s="4">
        <v>0.49199999999999999</v>
      </c>
      <c r="X18" s="4">
        <v>0.49</v>
      </c>
      <c r="Y18" s="5">
        <v>0.495</v>
      </c>
      <c r="Z18" t="s">
        <v>380</v>
      </c>
      <c r="AA18" t="s">
        <v>505</v>
      </c>
      <c r="AB18">
        <v>54</v>
      </c>
      <c r="AC18">
        <f>LN(_xlfn.XLOOKUP(Sheet2!A18,DataSheet!$G$2:$G$267,DataSheet!$H$2:$H$267))</f>
        <v>6.7289214840694056</v>
      </c>
    </row>
    <row r="19" spans="1:29" x14ac:dyDescent="0.2">
      <c r="A19" s="2" t="s">
        <v>129</v>
      </c>
      <c r="B19" s="3" t="s">
        <v>130</v>
      </c>
      <c r="C19" s="4">
        <v>0.33</v>
      </c>
      <c r="D19" s="4">
        <v>0.34</v>
      </c>
      <c r="E19" s="4">
        <v>0.34599999999999997</v>
      </c>
      <c r="F19" s="4">
        <v>0.35699999999999998</v>
      </c>
      <c r="G19" s="4">
        <v>0.36499999999999999</v>
      </c>
      <c r="H19" s="4">
        <v>0.374</v>
      </c>
      <c r="I19" s="4">
        <v>0.38400000000000001</v>
      </c>
      <c r="J19" s="4">
        <v>0.39400000000000002</v>
      </c>
      <c r="K19" s="4">
        <v>0.40100000000000002</v>
      </c>
      <c r="L19" s="4">
        <v>0.41099999999999998</v>
      </c>
      <c r="M19" s="4">
        <v>0.42199999999999999</v>
      </c>
      <c r="N19" s="4">
        <v>0.432</v>
      </c>
      <c r="O19" s="4">
        <v>0.44400000000000001</v>
      </c>
      <c r="P19" s="4">
        <v>0.45300000000000001</v>
      </c>
      <c r="Q19" s="4">
        <v>0.46300000000000002</v>
      </c>
      <c r="R19" s="4">
        <v>0.47299999999999998</v>
      </c>
      <c r="S19" s="4">
        <v>0.48199999999999998</v>
      </c>
      <c r="T19" s="4">
        <v>0.49099999999999999</v>
      </c>
      <c r="U19" s="4">
        <v>0.499</v>
      </c>
      <c r="V19" s="4">
        <v>0.50800000000000001</v>
      </c>
      <c r="W19" s="4">
        <v>0.51200000000000001</v>
      </c>
      <c r="X19" s="4">
        <v>0.51200000000000001</v>
      </c>
      <c r="Y19" s="5">
        <v>0.51500000000000001</v>
      </c>
      <c r="Z19" t="s">
        <v>380</v>
      </c>
      <c r="AA19" t="s">
        <v>505</v>
      </c>
      <c r="AB19">
        <v>61</v>
      </c>
      <c r="AC19">
        <f>LN(_xlfn.XLOOKUP(Sheet2!A19,DataSheet!$G$2:$G$267,DataSheet!$H$2:$H$267))</f>
        <v>8.0498285729164429</v>
      </c>
    </row>
    <row r="20" spans="1:29" x14ac:dyDescent="0.2">
      <c r="A20" s="6" t="s">
        <v>27</v>
      </c>
      <c r="B20" s="7" t="s">
        <v>28</v>
      </c>
      <c r="C20" s="8">
        <v>0.65200000000000002</v>
      </c>
      <c r="D20" s="8">
        <v>0.65900000000000003</v>
      </c>
      <c r="E20" s="8">
        <v>0.66800000000000004</v>
      </c>
      <c r="F20" s="8">
        <v>0.67500000000000004</v>
      </c>
      <c r="G20" s="8">
        <v>0.68300000000000005</v>
      </c>
      <c r="H20" s="8">
        <v>0.69</v>
      </c>
      <c r="I20" s="8">
        <v>0.69599999999999995</v>
      </c>
      <c r="J20" s="8">
        <v>0.70099999999999996</v>
      </c>
      <c r="K20" s="8">
        <v>0.70899999999999996</v>
      </c>
      <c r="L20" s="8">
        <v>0.71599999999999997</v>
      </c>
      <c r="M20" s="8">
        <v>0.72099999999999997</v>
      </c>
      <c r="N20" s="8">
        <v>0.72499999999999998</v>
      </c>
      <c r="O20" s="8">
        <v>0.72599999999999998</v>
      </c>
      <c r="P20" s="8">
        <v>0.72899999999999998</v>
      </c>
      <c r="Q20" s="8">
        <v>0.73199999999999998</v>
      </c>
      <c r="R20" s="8">
        <v>0.73599999999999999</v>
      </c>
      <c r="S20" s="8">
        <v>0.73799999999999999</v>
      </c>
      <c r="T20" s="8">
        <v>0.73799999999999999</v>
      </c>
      <c r="U20" s="8">
        <v>0.74</v>
      </c>
      <c r="V20" s="8">
        <v>0.74199999999999999</v>
      </c>
      <c r="W20" s="8">
        <v>0.73</v>
      </c>
      <c r="X20" s="8">
        <v>0.74</v>
      </c>
      <c r="Y20" s="9">
        <v>0.745</v>
      </c>
      <c r="Z20" t="s">
        <v>380</v>
      </c>
      <c r="AA20" t="s">
        <v>505</v>
      </c>
      <c r="AB20">
        <v>63</v>
      </c>
      <c r="AC20">
        <f>LN(_xlfn.XLOOKUP(Sheet2!A20,DataSheet!$G$2:$G$267,DataSheet!$H$2:$H$267))</f>
        <v>8.5092221751070092</v>
      </c>
    </row>
    <row r="21" spans="1:29" x14ac:dyDescent="0.2">
      <c r="A21" s="2" t="s">
        <v>165</v>
      </c>
      <c r="B21" s="3" t="s">
        <v>166</v>
      </c>
      <c r="C21" s="4">
        <v>0.39600000000000002</v>
      </c>
      <c r="D21" s="4">
        <v>0.40400000000000003</v>
      </c>
      <c r="E21" s="4">
        <v>0.41399999999999998</v>
      </c>
      <c r="F21" s="4">
        <v>0.42499999999999999</v>
      </c>
      <c r="G21" s="4">
        <v>0.435</v>
      </c>
      <c r="H21" s="4">
        <v>0.44500000000000001</v>
      </c>
      <c r="I21" s="4">
        <v>0.45500000000000002</v>
      </c>
      <c r="J21" s="4">
        <v>0.46400000000000002</v>
      </c>
      <c r="K21" s="4">
        <v>0.47199999999999998</v>
      </c>
      <c r="L21" s="4">
        <v>0.48199999999999998</v>
      </c>
      <c r="M21" s="4">
        <v>0.49299999999999999</v>
      </c>
      <c r="N21" s="4">
        <v>0.498</v>
      </c>
      <c r="O21" s="4">
        <v>0.501</v>
      </c>
      <c r="P21" s="4">
        <v>0.504</v>
      </c>
      <c r="Q21" s="4">
        <v>0.50600000000000001</v>
      </c>
      <c r="R21" s="4">
        <v>0.50700000000000001</v>
      </c>
      <c r="S21" s="4">
        <v>0.50900000000000001</v>
      </c>
      <c r="T21" s="4">
        <v>0.51700000000000002</v>
      </c>
      <c r="U21" s="4">
        <v>0.52500000000000002</v>
      </c>
      <c r="V21" s="4">
        <v>0.53300000000000003</v>
      </c>
      <c r="W21" s="4">
        <v>0.53500000000000003</v>
      </c>
      <c r="X21" s="4">
        <v>0.52900000000000003</v>
      </c>
      <c r="Y21" s="5">
        <v>0.53200000000000003</v>
      </c>
      <c r="Z21" t="s">
        <v>380</v>
      </c>
      <c r="AA21" t="s">
        <v>505</v>
      </c>
      <c r="AB21">
        <v>66</v>
      </c>
      <c r="AC21">
        <f>LN(_xlfn.XLOOKUP(Sheet2!A21,DataSheet!$G$2:$G$267,DataSheet!$H$2:$H$267))</f>
        <v>7.0963244702669108</v>
      </c>
    </row>
    <row r="22" spans="1:29" x14ac:dyDescent="0.2">
      <c r="A22" s="6" t="s">
        <v>183</v>
      </c>
      <c r="B22" s="7" t="s">
        <v>184</v>
      </c>
      <c r="C22" s="8">
        <v>0.50900000000000001</v>
      </c>
      <c r="D22" s="8">
        <v>0.51500000000000001</v>
      </c>
      <c r="E22" s="8">
        <v>0.51800000000000002</v>
      </c>
      <c r="F22" s="8">
        <v>0.52</v>
      </c>
      <c r="G22" s="8">
        <v>0.52500000000000002</v>
      </c>
      <c r="H22" s="8">
        <v>0.53900000000000003</v>
      </c>
      <c r="I22" s="8">
        <v>0.55200000000000005</v>
      </c>
      <c r="J22" s="8">
        <v>0.55300000000000005</v>
      </c>
      <c r="K22" s="8">
        <v>0.56100000000000005</v>
      </c>
      <c r="L22" s="8">
        <v>0.57399999999999995</v>
      </c>
      <c r="M22" s="8">
        <v>0.58099999999999996</v>
      </c>
      <c r="N22" s="8">
        <v>0.58399999999999996</v>
      </c>
      <c r="O22" s="8">
        <v>0.59499999999999997</v>
      </c>
      <c r="P22" s="8">
        <v>0.6</v>
      </c>
      <c r="Q22" s="8">
        <v>0.60899999999999999</v>
      </c>
      <c r="R22" s="8">
        <v>0.61</v>
      </c>
      <c r="S22" s="8">
        <v>0.60599999999999998</v>
      </c>
      <c r="T22" s="8">
        <v>0.6</v>
      </c>
      <c r="U22" s="8">
        <v>0.60299999999999998</v>
      </c>
      <c r="V22" s="8">
        <v>0.59599999999999997</v>
      </c>
      <c r="W22" s="8">
        <v>0.59799999999999998</v>
      </c>
      <c r="X22" s="8">
        <v>0.59799999999999998</v>
      </c>
      <c r="Y22" s="9">
        <v>0.59299999999999997</v>
      </c>
      <c r="Z22" t="s">
        <v>380</v>
      </c>
      <c r="AA22" t="s">
        <v>505</v>
      </c>
      <c r="AB22">
        <v>78</v>
      </c>
      <c r="AC22">
        <f>LN(_xlfn.XLOOKUP(Sheet2!A22,DataSheet!$G$2:$G$267,DataSheet!$H$2:$H$267))</f>
        <v>7.8712494082054283</v>
      </c>
    </row>
    <row r="23" spans="1:29" x14ac:dyDescent="0.2">
      <c r="A23" s="6" t="s">
        <v>143</v>
      </c>
      <c r="B23" s="7" t="s">
        <v>144</v>
      </c>
      <c r="C23" s="8">
        <v>0.438</v>
      </c>
      <c r="D23" s="8">
        <v>0.44500000000000001</v>
      </c>
      <c r="E23" s="8">
        <v>0.442</v>
      </c>
      <c r="F23" s="8">
        <v>0.45100000000000001</v>
      </c>
      <c r="G23" s="8">
        <v>0.45900000000000002</v>
      </c>
      <c r="H23" s="8">
        <v>0.46400000000000002</v>
      </c>
      <c r="I23" s="8">
        <v>0.46899999999999997</v>
      </c>
      <c r="J23" s="8">
        <v>0.47699999999999998</v>
      </c>
      <c r="K23" s="8">
        <v>0.48499999999999999</v>
      </c>
      <c r="L23" s="8">
        <v>0.48799999999999999</v>
      </c>
      <c r="M23" s="8">
        <v>0.48799999999999999</v>
      </c>
      <c r="N23" s="8">
        <v>0.49</v>
      </c>
      <c r="O23" s="8">
        <v>0.49199999999999999</v>
      </c>
      <c r="P23" s="8">
        <v>0.49399999999999999</v>
      </c>
      <c r="Q23" s="8">
        <v>0.497</v>
      </c>
      <c r="R23" s="8">
        <v>0.499</v>
      </c>
      <c r="S23" s="8">
        <v>0.501</v>
      </c>
      <c r="T23" s="8">
        <v>0.502</v>
      </c>
      <c r="U23" s="8">
        <v>0.502</v>
      </c>
      <c r="V23" s="8">
        <v>0.498</v>
      </c>
      <c r="W23" s="8">
        <v>0.48599999999999999</v>
      </c>
      <c r="X23" s="8">
        <v>0.48399999999999999</v>
      </c>
      <c r="Y23" s="9">
        <v>0.48699999999999999</v>
      </c>
      <c r="Z23" t="s">
        <v>380</v>
      </c>
      <c r="AA23" t="s">
        <v>505</v>
      </c>
      <c r="AB23">
        <v>79</v>
      </c>
      <c r="AC23">
        <f>LN(_xlfn.XLOOKUP(Sheet2!A23,DataSheet!$G$2:$G$267,DataSheet!$H$2:$H$267))</f>
        <v>6.2216125756943947</v>
      </c>
    </row>
    <row r="24" spans="1:29" x14ac:dyDescent="0.2">
      <c r="A24" s="6" t="s">
        <v>135</v>
      </c>
      <c r="B24" s="7" t="s">
        <v>136</v>
      </c>
      <c r="C24" s="8">
        <v>0.34499999999999997</v>
      </c>
      <c r="D24" s="8">
        <v>0.35199999999999998</v>
      </c>
      <c r="E24" s="8">
        <v>0.36299999999999999</v>
      </c>
      <c r="F24" s="8">
        <v>0.37</v>
      </c>
      <c r="G24" s="8">
        <v>0.377</v>
      </c>
      <c r="H24" s="8">
        <v>0.38700000000000001</v>
      </c>
      <c r="I24" s="8">
        <v>0.39400000000000002</v>
      </c>
      <c r="J24" s="8">
        <v>0.40200000000000002</v>
      </c>
      <c r="K24" s="8">
        <v>0.40799999999999997</v>
      </c>
      <c r="L24" s="8">
        <v>0.41</v>
      </c>
      <c r="M24" s="8">
        <v>0.41499999999999998</v>
      </c>
      <c r="N24" s="8">
        <v>0.42099999999999999</v>
      </c>
      <c r="O24" s="8">
        <v>0.42499999999999999</v>
      </c>
      <c r="P24" s="8">
        <v>0.43</v>
      </c>
      <c r="Q24" s="8">
        <v>0.436</v>
      </c>
      <c r="R24" s="8">
        <v>0.44900000000000001</v>
      </c>
      <c r="S24" s="8">
        <v>0.46600000000000003</v>
      </c>
      <c r="T24" s="8">
        <v>0.46700000000000003</v>
      </c>
      <c r="U24" s="8">
        <v>0.46400000000000002</v>
      </c>
      <c r="V24" s="8">
        <v>0.47</v>
      </c>
      <c r="W24" s="8">
        <v>0.47099999999999997</v>
      </c>
      <c r="X24" s="8">
        <v>0.46700000000000003</v>
      </c>
      <c r="Y24" s="9">
        <v>0.47099999999999997</v>
      </c>
      <c r="Z24" t="s">
        <v>380</v>
      </c>
      <c r="AA24" t="s">
        <v>505</v>
      </c>
      <c r="AB24">
        <v>81</v>
      </c>
      <c r="AC24">
        <f>LN(_xlfn.XLOOKUP(Sheet2!A24,DataSheet!$G$2:$G$267,DataSheet!$H$2:$H$267))</f>
        <v>7.2560121743633497</v>
      </c>
    </row>
    <row r="25" spans="1:29" x14ac:dyDescent="0.2">
      <c r="A25" s="6" t="s">
        <v>179</v>
      </c>
      <c r="B25" s="7" t="s">
        <v>180</v>
      </c>
      <c r="C25" s="8">
        <v>0.42599999999999999</v>
      </c>
      <c r="D25" s="8">
        <v>0.44500000000000001</v>
      </c>
      <c r="E25" s="8">
        <v>0.44500000000000001</v>
      </c>
      <c r="F25" s="8">
        <v>0.45200000000000001</v>
      </c>
      <c r="G25" s="8">
        <v>0.45800000000000002</v>
      </c>
      <c r="H25" s="8">
        <v>0.45900000000000002</v>
      </c>
      <c r="I25" s="8">
        <v>0.46</v>
      </c>
      <c r="J25" s="8">
        <v>0.47199999999999998</v>
      </c>
      <c r="K25" s="8">
        <v>0.48699999999999999</v>
      </c>
      <c r="L25" s="8">
        <v>0.502</v>
      </c>
      <c r="M25" s="8">
        <v>0.51500000000000001</v>
      </c>
      <c r="N25" s="8">
        <v>0.52400000000000002</v>
      </c>
      <c r="O25" s="8">
        <v>0.53500000000000003</v>
      </c>
      <c r="P25" s="8">
        <v>0.54400000000000004</v>
      </c>
      <c r="Q25" s="8">
        <v>0.55300000000000005</v>
      </c>
      <c r="R25" s="8">
        <v>0.56200000000000006</v>
      </c>
      <c r="S25" s="8">
        <v>0.56599999999999995</v>
      </c>
      <c r="T25" s="8">
        <v>0.57399999999999995</v>
      </c>
      <c r="U25" s="8">
        <v>0.58099999999999996</v>
      </c>
      <c r="V25" s="8">
        <v>0.58599999999999997</v>
      </c>
      <c r="W25" s="8">
        <v>0.58499999999999996</v>
      </c>
      <c r="X25" s="8">
        <v>0.58099999999999996</v>
      </c>
      <c r="Y25" s="9">
        <v>0.58699999999999997</v>
      </c>
      <c r="Z25" t="s">
        <v>380</v>
      </c>
      <c r="AA25" t="s">
        <v>505</v>
      </c>
      <c r="AB25">
        <v>89</v>
      </c>
      <c r="AC25">
        <f>LN(_xlfn.XLOOKUP(Sheet2!A25,DataSheet!$G$2:$G$267,DataSheet!$H$2:$H$267))</f>
        <v>7.3808025653506242</v>
      </c>
    </row>
    <row r="26" spans="1:29" x14ac:dyDescent="0.2">
      <c r="A26" s="2" t="s">
        <v>141</v>
      </c>
      <c r="B26" s="3" t="s">
        <v>142</v>
      </c>
      <c r="C26" s="4">
        <v>0.434</v>
      </c>
      <c r="D26" s="4">
        <v>0.44</v>
      </c>
      <c r="E26" s="4">
        <v>0.44600000000000001</v>
      </c>
      <c r="F26" s="4">
        <v>0.42199999999999999</v>
      </c>
      <c r="G26" s="4">
        <v>0.435</v>
      </c>
      <c r="H26" s="4">
        <v>0.439</v>
      </c>
      <c r="I26" s="4">
        <v>0.443</v>
      </c>
      <c r="J26" s="4">
        <v>0.44800000000000001</v>
      </c>
      <c r="K26" s="4">
        <v>0.45300000000000001</v>
      </c>
      <c r="L26" s="4">
        <v>0.45600000000000002</v>
      </c>
      <c r="M26" s="4">
        <v>0.46</v>
      </c>
      <c r="N26" s="4">
        <v>0.46400000000000002</v>
      </c>
      <c r="O26" s="4">
        <v>0.46899999999999997</v>
      </c>
      <c r="P26" s="4">
        <v>0.47399999999999998</v>
      </c>
      <c r="Q26" s="4">
        <v>0.47199999999999998</v>
      </c>
      <c r="R26" s="4">
        <v>0.47199999999999998</v>
      </c>
      <c r="S26" s="4">
        <v>0.47799999999999998</v>
      </c>
      <c r="T26" s="4">
        <v>0.48099999999999998</v>
      </c>
      <c r="U26" s="4">
        <v>0.48399999999999999</v>
      </c>
      <c r="V26" s="4">
        <v>0.48499999999999999</v>
      </c>
      <c r="W26" s="4">
        <v>0.48299999999999998</v>
      </c>
      <c r="X26" s="4">
        <v>0.48399999999999999</v>
      </c>
      <c r="Y26" s="5">
        <v>0.48699999999999999</v>
      </c>
      <c r="Z26" t="s">
        <v>380</v>
      </c>
      <c r="AA26" t="s">
        <v>505</v>
      </c>
      <c r="AB26">
        <v>93</v>
      </c>
      <c r="AC26">
        <f>LN(_xlfn.XLOOKUP(Sheet2!A26,DataSheet!$G$2:$G$267,DataSheet!$H$2:$H$267))</f>
        <v>6.6128702272483437</v>
      </c>
    </row>
    <row r="27" spans="1:29" x14ac:dyDescent="0.2">
      <c r="A27" s="2" t="s">
        <v>125</v>
      </c>
      <c r="B27" s="3" t="s">
        <v>126</v>
      </c>
      <c r="C27" s="4">
        <v>0.376</v>
      </c>
      <c r="D27" s="4">
        <v>0.373</v>
      </c>
      <c r="E27" s="4">
        <v>0.376</v>
      </c>
      <c r="F27" s="4">
        <v>0.38200000000000001</v>
      </c>
      <c r="G27" s="4">
        <v>0.38800000000000001</v>
      </c>
      <c r="H27" s="4">
        <v>0.39200000000000002</v>
      </c>
      <c r="I27" s="4">
        <v>0.39700000000000002</v>
      </c>
      <c r="J27" s="4">
        <v>0.40100000000000002</v>
      </c>
      <c r="K27" s="4">
        <v>0.41</v>
      </c>
      <c r="L27" s="4">
        <v>0.41599999999999998</v>
      </c>
      <c r="M27" s="4">
        <v>0.42399999999999999</v>
      </c>
      <c r="N27" s="4">
        <v>0.432</v>
      </c>
      <c r="O27" s="4">
        <v>0.434</v>
      </c>
      <c r="P27" s="4">
        <v>0.44</v>
      </c>
      <c r="Q27" s="4">
        <v>0.45</v>
      </c>
      <c r="R27" s="4">
        <v>0.45700000000000002</v>
      </c>
      <c r="S27" s="4">
        <v>0.46600000000000003</v>
      </c>
      <c r="T27" s="4">
        <v>0.46899999999999997</v>
      </c>
      <c r="U27" s="4">
        <v>0.47399999999999998</v>
      </c>
      <c r="V27" s="4">
        <v>0.47599999999999998</v>
      </c>
      <c r="W27" s="4">
        <v>0.47699999999999998</v>
      </c>
      <c r="X27" s="4">
        <v>0.47499999999999998</v>
      </c>
      <c r="Y27" s="5">
        <v>0.48099999999999998</v>
      </c>
      <c r="Z27" t="s">
        <v>380</v>
      </c>
      <c r="AA27" t="s">
        <v>505</v>
      </c>
      <c r="AB27">
        <v>94</v>
      </c>
      <c r="AC27">
        <f>LN(_xlfn.XLOOKUP(Sheet2!A27,DataSheet!$G$2:$G$267,DataSheet!$H$2:$H$267))</f>
        <v>6.5334088064281923</v>
      </c>
    </row>
    <row r="28" spans="1:29" x14ac:dyDescent="0.2">
      <c r="A28" s="2" t="s">
        <v>117</v>
      </c>
      <c r="B28" s="3" t="s">
        <v>118</v>
      </c>
      <c r="C28" s="4">
        <v>0.41199999999999998</v>
      </c>
      <c r="D28" s="4">
        <v>0.42299999999999999</v>
      </c>
      <c r="E28" s="4">
        <v>0.43099999999999999</v>
      </c>
      <c r="F28" s="4">
        <v>0.438</v>
      </c>
      <c r="G28" s="4">
        <v>0.44400000000000001</v>
      </c>
      <c r="H28" s="4">
        <v>0.45</v>
      </c>
      <c r="I28" s="4">
        <v>0.45600000000000002</v>
      </c>
      <c r="J28" s="4">
        <v>0.46400000000000002</v>
      </c>
      <c r="K28" s="4">
        <v>0.47</v>
      </c>
      <c r="L28" s="4">
        <v>0.47499999999999998</v>
      </c>
      <c r="M28" s="4">
        <v>0.48099999999999998</v>
      </c>
      <c r="N28" s="4">
        <v>0.48599999999999999</v>
      </c>
      <c r="O28" s="4">
        <v>0.49399999999999999</v>
      </c>
      <c r="P28" s="4">
        <v>0.503</v>
      </c>
      <c r="Q28" s="4">
        <v>0.50600000000000001</v>
      </c>
      <c r="R28" s="4">
        <v>0.50900000000000001</v>
      </c>
      <c r="S28" s="4">
        <v>0.50800000000000001</v>
      </c>
      <c r="T28" s="4">
        <v>0.505</v>
      </c>
      <c r="U28" s="4">
        <v>0.50600000000000001</v>
      </c>
      <c r="V28" s="4">
        <v>0.50600000000000001</v>
      </c>
      <c r="W28" s="4">
        <v>0.501</v>
      </c>
      <c r="X28" s="4">
        <v>0.502</v>
      </c>
      <c r="Y28" s="5">
        <v>0.504</v>
      </c>
      <c r="Z28" t="s">
        <v>380</v>
      </c>
      <c r="AA28" t="s">
        <v>505</v>
      </c>
      <c r="AB28">
        <v>96</v>
      </c>
      <c r="AC28">
        <f>LN(_xlfn.XLOOKUP(Sheet2!A28,DataSheet!$G$2:$G$267,DataSheet!$H$2:$H$267))</f>
        <v>7.1439549154760176</v>
      </c>
    </row>
    <row r="29" spans="1:29" x14ac:dyDescent="0.2">
      <c r="A29" s="2" t="s">
        <v>157</v>
      </c>
      <c r="B29" s="3" t="s">
        <v>158</v>
      </c>
      <c r="C29" s="4">
        <v>0.32800000000000001</v>
      </c>
      <c r="D29" s="4">
        <v>0.34599999999999997</v>
      </c>
      <c r="E29" s="4">
        <v>0.36699999999999999</v>
      </c>
      <c r="F29" s="4">
        <v>0.38500000000000001</v>
      </c>
      <c r="G29" s="4">
        <v>0.40300000000000002</v>
      </c>
      <c r="H29" s="4">
        <v>0.42099999999999999</v>
      </c>
      <c r="I29" s="4">
        <v>0.44</v>
      </c>
      <c r="J29" s="4">
        <v>0.45400000000000001</v>
      </c>
      <c r="K29" s="4">
        <v>0.46500000000000002</v>
      </c>
      <c r="L29" s="4">
        <v>0.47699999999999998</v>
      </c>
      <c r="M29" s="4">
        <v>0.48499999999999999</v>
      </c>
      <c r="N29" s="4">
        <v>0.49299999999999999</v>
      </c>
      <c r="O29" s="4">
        <v>0.501</v>
      </c>
      <c r="P29" s="4">
        <v>0.502</v>
      </c>
      <c r="Q29" s="4">
        <v>0.50700000000000001</v>
      </c>
      <c r="R29" s="4">
        <v>0.50900000000000001</v>
      </c>
      <c r="S29" s="4">
        <v>0.51800000000000002</v>
      </c>
      <c r="T29" s="4">
        <v>0.52</v>
      </c>
      <c r="U29" s="4">
        <v>0.52200000000000002</v>
      </c>
      <c r="V29" s="4">
        <v>0.53100000000000003</v>
      </c>
      <c r="W29" s="4">
        <v>0.53500000000000003</v>
      </c>
      <c r="X29" s="4">
        <v>0.53900000000000003</v>
      </c>
      <c r="Y29" s="5">
        <v>0.54800000000000004</v>
      </c>
      <c r="Z29" t="s">
        <v>380</v>
      </c>
      <c r="AA29" t="s">
        <v>505</v>
      </c>
      <c r="AB29">
        <v>99</v>
      </c>
      <c r="AC29">
        <f>LN(_xlfn.XLOOKUP(Sheet2!A29,DataSheet!$G$2:$G$267,DataSheet!$H$2:$H$267))</f>
        <v>6.8829187131309917</v>
      </c>
    </row>
    <row r="30" spans="1:29" x14ac:dyDescent="0.2">
      <c r="A30" s="6" t="s">
        <v>119</v>
      </c>
      <c r="B30" s="7" t="s">
        <v>120</v>
      </c>
      <c r="C30" s="8">
        <v>0.29599999999999999</v>
      </c>
      <c r="D30" s="8">
        <v>0.29899999999999999</v>
      </c>
      <c r="E30" s="8">
        <v>0.30199999999999999</v>
      </c>
      <c r="F30" s="8">
        <v>0.308</v>
      </c>
      <c r="G30" s="8">
        <v>0.317</v>
      </c>
      <c r="H30" s="8">
        <v>0.32700000000000001</v>
      </c>
      <c r="I30" s="8">
        <v>0.33500000000000002</v>
      </c>
      <c r="J30" s="8">
        <v>0.33900000000000002</v>
      </c>
      <c r="K30" s="8">
        <v>0.35199999999999998</v>
      </c>
      <c r="L30" s="8">
        <v>0.36199999999999999</v>
      </c>
      <c r="M30" s="8">
        <v>0.372</v>
      </c>
      <c r="N30" s="8">
        <v>0.38300000000000001</v>
      </c>
      <c r="O30" s="8">
        <v>0.39300000000000002</v>
      </c>
      <c r="P30" s="8">
        <v>0.39900000000000002</v>
      </c>
      <c r="Q30" s="8">
        <v>0.40300000000000002</v>
      </c>
      <c r="R30" s="8">
        <v>0.41299999999999998</v>
      </c>
      <c r="S30" s="8">
        <v>0.42199999999999999</v>
      </c>
      <c r="T30" s="8">
        <v>0.432</v>
      </c>
      <c r="U30" s="8">
        <v>0.443</v>
      </c>
      <c r="V30" s="8">
        <v>0.44600000000000001</v>
      </c>
      <c r="W30" s="8">
        <v>0.44600000000000001</v>
      </c>
      <c r="X30" s="8">
        <v>0.44500000000000001</v>
      </c>
      <c r="Y30" s="9">
        <v>0.438</v>
      </c>
      <c r="Z30" t="s">
        <v>380</v>
      </c>
      <c r="AA30" t="s">
        <v>505</v>
      </c>
      <c r="AB30">
        <v>103</v>
      </c>
      <c r="AC30">
        <f>LN(_xlfn.XLOOKUP(Sheet2!A30,DataSheet!$G$2:$G$267,DataSheet!$H$2:$H$267))</f>
        <v>6.71820466701939</v>
      </c>
    </row>
    <row r="31" spans="1:29" x14ac:dyDescent="0.2">
      <c r="A31" s="2" t="s">
        <v>189</v>
      </c>
      <c r="B31" s="3" t="s">
        <v>190</v>
      </c>
      <c r="C31" s="4">
        <v>0.46500000000000002</v>
      </c>
      <c r="D31" s="4">
        <v>0.45600000000000002</v>
      </c>
      <c r="E31" s="4">
        <v>0.44400000000000001</v>
      </c>
      <c r="F31" s="4">
        <v>0.438</v>
      </c>
      <c r="G31" s="4">
        <v>0.436</v>
      </c>
      <c r="H31" s="4">
        <v>0.439</v>
      </c>
      <c r="I31" s="4">
        <v>0.45400000000000001</v>
      </c>
      <c r="J31" s="4">
        <v>0.46400000000000002</v>
      </c>
      <c r="K31" s="4">
        <v>0.47299999999999998</v>
      </c>
      <c r="L31" s="4">
        <v>0.48099999999999998</v>
      </c>
      <c r="M31" s="4">
        <v>0.498</v>
      </c>
      <c r="N31" s="4">
        <v>0.51400000000000001</v>
      </c>
      <c r="O31" s="4">
        <v>0.53</v>
      </c>
      <c r="P31" s="4">
        <v>0.54600000000000004</v>
      </c>
      <c r="Q31" s="4">
        <v>0.56000000000000005</v>
      </c>
      <c r="R31" s="4">
        <v>0.57699999999999996</v>
      </c>
      <c r="S31" s="4">
        <v>0.59</v>
      </c>
      <c r="T31" s="4">
        <v>0.60099999999999998</v>
      </c>
      <c r="U31" s="4">
        <v>0.61299999999999999</v>
      </c>
      <c r="V31" s="4">
        <v>0.623</v>
      </c>
      <c r="W31" s="4">
        <v>0.622</v>
      </c>
      <c r="X31" s="4">
        <v>0.61199999999999999</v>
      </c>
      <c r="Y31" s="5">
        <v>0.61</v>
      </c>
      <c r="Z31" t="s">
        <v>380</v>
      </c>
      <c r="AA31" t="s">
        <v>505</v>
      </c>
      <c r="AB31">
        <v>105</v>
      </c>
      <c r="AC31">
        <f>LN(_xlfn.XLOOKUP(Sheet2!A31,DataSheet!$G$2:$G$267,DataSheet!$H$2:$H$267))</f>
        <v>8.2672337901000645</v>
      </c>
    </row>
    <row r="32" spans="1:29" x14ac:dyDescent="0.2">
      <c r="A32" s="6" t="s">
        <v>191</v>
      </c>
      <c r="B32" s="7" t="s">
        <v>192</v>
      </c>
      <c r="C32" s="8">
        <v>0.626</v>
      </c>
      <c r="D32" s="8">
        <v>0.63200000000000001</v>
      </c>
      <c r="E32" s="8">
        <v>0.63500000000000001</v>
      </c>
      <c r="F32" s="8">
        <v>0.63800000000000001</v>
      </c>
      <c r="G32" s="8">
        <v>0.63800000000000001</v>
      </c>
      <c r="H32" s="8">
        <v>0.64300000000000002</v>
      </c>
      <c r="I32" s="8">
        <v>0.64300000000000002</v>
      </c>
      <c r="J32" s="8">
        <v>0.64600000000000002</v>
      </c>
      <c r="K32" s="8">
        <v>0.64700000000000002</v>
      </c>
      <c r="L32" s="8">
        <v>0.65200000000000002</v>
      </c>
      <c r="M32" s="8">
        <v>0.65600000000000003</v>
      </c>
      <c r="N32" s="8">
        <v>0.66100000000000003</v>
      </c>
      <c r="O32" s="8">
        <v>0.67100000000000004</v>
      </c>
      <c r="P32" s="8">
        <v>0.67800000000000005</v>
      </c>
      <c r="Q32" s="8">
        <v>0.68700000000000006</v>
      </c>
      <c r="R32" s="8">
        <v>0.69199999999999995</v>
      </c>
      <c r="S32" s="8">
        <v>0.69599999999999995</v>
      </c>
      <c r="T32" s="8">
        <v>0.69899999999999995</v>
      </c>
      <c r="U32" s="8">
        <v>0.69899999999999995</v>
      </c>
      <c r="V32" s="8">
        <v>0.70199999999999996</v>
      </c>
      <c r="W32" s="8">
        <v>0.70399999999999996</v>
      </c>
      <c r="X32" s="8">
        <v>0.68700000000000006</v>
      </c>
      <c r="Y32" s="9">
        <v>0.69299999999999995</v>
      </c>
      <c r="Z32" t="s">
        <v>380</v>
      </c>
      <c r="AA32" t="s">
        <v>505</v>
      </c>
      <c r="AB32">
        <v>106</v>
      </c>
      <c r="AC32">
        <f>LN(_xlfn.XLOOKUP(Sheet2!A32,DataSheet!$G$2:$G$267,DataSheet!$H$2:$H$267))</f>
        <v>9.0370825047683407</v>
      </c>
    </row>
    <row r="33" spans="1:29" x14ac:dyDescent="0.2">
      <c r="A33" s="2" t="s">
        <v>101</v>
      </c>
      <c r="B33" s="3" t="s">
        <v>102</v>
      </c>
      <c r="C33" s="4">
        <v>0.63300000000000001</v>
      </c>
      <c r="D33" s="4">
        <v>0.629</v>
      </c>
      <c r="E33" s="4">
        <v>0.63300000000000001</v>
      </c>
      <c r="F33" s="4">
        <v>0.629</v>
      </c>
      <c r="G33" s="4">
        <v>0.63</v>
      </c>
      <c r="H33" s="4">
        <v>0.63200000000000001</v>
      </c>
      <c r="I33" s="4">
        <v>0.63700000000000001</v>
      </c>
      <c r="J33" s="4">
        <v>0.64400000000000002</v>
      </c>
      <c r="K33" s="4">
        <v>0.65300000000000002</v>
      </c>
      <c r="L33" s="4">
        <v>0.66500000000000004</v>
      </c>
      <c r="M33" s="4">
        <v>0.67500000000000004</v>
      </c>
      <c r="N33" s="4">
        <v>0.68600000000000005</v>
      </c>
      <c r="O33" s="4">
        <v>0.69599999999999995</v>
      </c>
      <c r="P33" s="4">
        <v>0.70499999999999996</v>
      </c>
      <c r="Q33" s="4">
        <v>0.71399999999999997</v>
      </c>
      <c r="R33" s="4">
        <v>0.72099999999999997</v>
      </c>
      <c r="S33" s="4">
        <v>0.71099999999999997</v>
      </c>
      <c r="T33" s="4">
        <v>0.72499999999999998</v>
      </c>
      <c r="U33" s="4">
        <v>0.73099999999999998</v>
      </c>
      <c r="V33" s="4">
        <v>0.74099999999999999</v>
      </c>
      <c r="W33" s="4">
        <v>0.72199999999999998</v>
      </c>
      <c r="X33" s="4">
        <v>0.72099999999999997</v>
      </c>
      <c r="Y33" s="5">
        <v>0.71699999999999997</v>
      </c>
      <c r="Z33" t="s">
        <v>380</v>
      </c>
      <c r="AA33" t="s">
        <v>505</v>
      </c>
      <c r="AB33">
        <v>109</v>
      </c>
      <c r="AC33">
        <f>LN(_xlfn.XLOOKUP(Sheet2!A33,DataSheet!$G$2:$G$267,DataSheet!$H$2:$H$267))</f>
        <v>8.7848126508184716</v>
      </c>
    </row>
    <row r="34" spans="1:29" x14ac:dyDescent="0.2">
      <c r="A34" s="6" t="s">
        <v>175</v>
      </c>
      <c r="B34" s="7" t="s">
        <v>176</v>
      </c>
      <c r="C34" s="8">
        <v>0.59</v>
      </c>
      <c r="D34" s="8">
        <v>0.59799999999999998</v>
      </c>
      <c r="E34" s="8">
        <v>0.60599999999999998</v>
      </c>
      <c r="F34" s="8">
        <v>0.61199999999999999</v>
      </c>
      <c r="G34" s="8">
        <v>0.61499999999999999</v>
      </c>
      <c r="H34" s="8">
        <v>0.622</v>
      </c>
      <c r="I34" s="8">
        <v>0.63300000000000001</v>
      </c>
      <c r="J34" s="8">
        <v>0.63900000000000001</v>
      </c>
      <c r="K34" s="8">
        <v>0.64300000000000002</v>
      </c>
      <c r="L34" s="8">
        <v>0.64500000000000002</v>
      </c>
      <c r="M34" s="8">
        <v>0.64900000000000002</v>
      </c>
      <c r="N34" s="8">
        <v>0.65700000000000003</v>
      </c>
      <c r="O34" s="8">
        <v>0.65700000000000003</v>
      </c>
      <c r="P34" s="8">
        <v>0.66400000000000003</v>
      </c>
      <c r="Q34" s="8">
        <v>0.66300000000000003</v>
      </c>
      <c r="R34" s="8">
        <v>0.65800000000000003</v>
      </c>
      <c r="S34" s="8">
        <v>0.66400000000000003</v>
      </c>
      <c r="T34" s="8">
        <v>0.66800000000000004</v>
      </c>
      <c r="U34" s="8">
        <v>0.66400000000000003</v>
      </c>
      <c r="V34" s="8">
        <v>0.66700000000000004</v>
      </c>
      <c r="W34" s="8">
        <v>0.64900000000000002</v>
      </c>
      <c r="X34" s="8">
        <v>0.65</v>
      </c>
      <c r="Y34" s="9">
        <v>0.66100000000000003</v>
      </c>
      <c r="Z34" t="s">
        <v>380</v>
      </c>
      <c r="AA34" t="s">
        <v>505</v>
      </c>
      <c r="AB34">
        <v>115</v>
      </c>
      <c r="AC34">
        <f>LN(_xlfn.XLOOKUP(Sheet2!A34,DataSheet!$G$2:$G$267,DataSheet!$H$2:$H$267))</f>
        <v>8.3717774288787066</v>
      </c>
    </row>
    <row r="35" spans="1:29" x14ac:dyDescent="0.2">
      <c r="A35" s="2" t="s">
        <v>37</v>
      </c>
      <c r="B35" s="3" t="s">
        <v>38</v>
      </c>
      <c r="C35" s="4">
        <v>0.58099999999999996</v>
      </c>
      <c r="D35" s="4">
        <v>0.58099999999999996</v>
      </c>
      <c r="E35" s="4">
        <v>0.57899999999999996</v>
      </c>
      <c r="F35" s="4">
        <v>0.58499999999999996</v>
      </c>
      <c r="G35" s="4">
        <v>0.59099999999999997</v>
      </c>
      <c r="H35" s="4">
        <v>0.60099999999999998</v>
      </c>
      <c r="I35" s="4">
        <v>0.61499999999999999</v>
      </c>
      <c r="J35" s="4">
        <v>0.629</v>
      </c>
      <c r="K35" s="4">
        <v>0.63700000000000001</v>
      </c>
      <c r="L35" s="4">
        <v>0.63900000000000001</v>
      </c>
      <c r="M35" s="4">
        <v>0.65200000000000002</v>
      </c>
      <c r="N35" s="4">
        <v>0.66</v>
      </c>
      <c r="O35" s="4">
        <v>0.66400000000000003</v>
      </c>
      <c r="P35" s="4">
        <v>0.67600000000000005</v>
      </c>
      <c r="Q35" s="4">
        <v>0.68300000000000005</v>
      </c>
      <c r="R35" s="4">
        <v>0.68799999999999994</v>
      </c>
      <c r="S35" s="4">
        <v>0.69699999999999995</v>
      </c>
      <c r="T35" s="4">
        <v>0.70499999999999996</v>
      </c>
      <c r="U35" s="4">
        <v>0.7</v>
      </c>
      <c r="V35" s="4">
        <v>0.70299999999999996</v>
      </c>
      <c r="W35" s="4">
        <v>0.70099999999999996</v>
      </c>
      <c r="X35" s="4">
        <v>0.68</v>
      </c>
      <c r="Y35" s="5">
        <v>0.70799999999999996</v>
      </c>
      <c r="Z35" t="s">
        <v>380</v>
      </c>
      <c r="AA35" t="s">
        <v>505</v>
      </c>
      <c r="AB35">
        <v>128</v>
      </c>
      <c r="AC35">
        <f>LN(_xlfn.XLOOKUP(Sheet2!A35,DataSheet!$G$2:$G$267,DataSheet!$H$2:$H$267))</f>
        <v>9.0274637483611393</v>
      </c>
    </row>
    <row r="36" spans="1:29" x14ac:dyDescent="0.2">
      <c r="A36" s="2" t="s">
        <v>77</v>
      </c>
      <c r="B36" s="3" t="s">
        <v>78</v>
      </c>
      <c r="C36" s="4">
        <v>0.68200000000000005</v>
      </c>
      <c r="D36" s="4">
        <v>0.69199999999999995</v>
      </c>
      <c r="E36" s="4">
        <v>0.69599999999999995</v>
      </c>
      <c r="F36" s="4">
        <v>0.70399999999999996</v>
      </c>
      <c r="G36" s="4">
        <v>0.71099999999999997</v>
      </c>
      <c r="H36" s="4">
        <v>0.71899999999999997</v>
      </c>
      <c r="I36" s="4">
        <v>0.72499999999999998</v>
      </c>
      <c r="J36" s="4">
        <v>0.73199999999999998</v>
      </c>
      <c r="K36" s="4">
        <v>0.73899999999999999</v>
      </c>
      <c r="L36" s="4">
        <v>0.746</v>
      </c>
      <c r="M36" s="4">
        <v>0.755</v>
      </c>
      <c r="N36" s="4">
        <v>0.76400000000000001</v>
      </c>
      <c r="O36" s="4">
        <v>0.77400000000000002</v>
      </c>
      <c r="P36" s="4">
        <v>0.77900000000000003</v>
      </c>
      <c r="Q36" s="4">
        <v>0.78800000000000003</v>
      </c>
      <c r="R36" s="4">
        <v>0.79100000000000004</v>
      </c>
      <c r="S36" s="4">
        <v>0.79400000000000004</v>
      </c>
      <c r="T36" s="4">
        <v>0.79700000000000004</v>
      </c>
      <c r="U36" s="4">
        <v>0.8</v>
      </c>
      <c r="V36" s="4">
        <v>0.80600000000000005</v>
      </c>
      <c r="W36" s="4">
        <v>0.79200000000000004</v>
      </c>
      <c r="X36" s="4">
        <v>0.79</v>
      </c>
      <c r="Y36" s="5">
        <v>0.79600000000000004</v>
      </c>
      <c r="Z36" t="s">
        <v>380</v>
      </c>
      <c r="AA36" t="s">
        <v>505</v>
      </c>
      <c r="AB36">
        <v>131</v>
      </c>
      <c r="AC36">
        <f>LN(_xlfn.XLOOKUP(Sheet2!A36,DataSheet!$G$2:$G$267,DataSheet!$H$2:$H$267))</f>
        <v>9.2346916287503102</v>
      </c>
    </row>
    <row r="37" spans="1:29" x14ac:dyDescent="0.2">
      <c r="A37" s="6" t="s">
        <v>107</v>
      </c>
      <c r="B37" s="7" t="s">
        <v>108</v>
      </c>
      <c r="C37" s="8">
        <v>0.65100000000000002</v>
      </c>
      <c r="D37" s="8">
        <v>0.65800000000000003</v>
      </c>
      <c r="E37" s="8">
        <v>0.66300000000000003</v>
      </c>
      <c r="F37" s="8">
        <v>0.66900000000000004</v>
      </c>
      <c r="G37" s="8">
        <v>0.67900000000000005</v>
      </c>
      <c r="H37" s="8">
        <v>0.68600000000000005</v>
      </c>
      <c r="I37" s="8">
        <v>0.69299999999999995</v>
      </c>
      <c r="J37" s="8">
        <v>0.7</v>
      </c>
      <c r="K37" s="8">
        <v>0.70499999999999996</v>
      </c>
      <c r="L37" s="8">
        <v>0.70899999999999996</v>
      </c>
      <c r="M37" s="8">
        <v>0.71299999999999997</v>
      </c>
      <c r="N37" s="8">
        <v>0.71499999999999997</v>
      </c>
      <c r="O37" s="8">
        <v>0.71599999999999997</v>
      </c>
      <c r="P37" s="8">
        <v>0.71899999999999997</v>
      </c>
      <c r="Q37" s="8">
        <v>0.72099999999999997</v>
      </c>
      <c r="R37" s="8">
        <v>0.72399999999999998</v>
      </c>
      <c r="S37" s="8">
        <v>0.72799999999999998</v>
      </c>
      <c r="T37" s="8">
        <v>0.73199999999999998</v>
      </c>
      <c r="U37" s="8">
        <v>0.73699999999999999</v>
      </c>
      <c r="V37" s="8">
        <v>0.74</v>
      </c>
      <c r="W37" s="8">
        <v>0.73399999999999999</v>
      </c>
      <c r="X37" s="8">
        <v>0.72899999999999998</v>
      </c>
      <c r="Y37" s="9">
        <v>0.73199999999999998</v>
      </c>
      <c r="Z37" t="s">
        <v>380</v>
      </c>
      <c r="AA37" t="s">
        <v>505</v>
      </c>
      <c r="AB37">
        <v>133</v>
      </c>
      <c r="AC37">
        <f>LN(_xlfn.XLOOKUP(Sheet2!A37,DataSheet!$G$2:$G$267,DataSheet!$H$2:$H$267))</f>
        <v>8.2180571938264091</v>
      </c>
    </row>
    <row r="38" spans="1:29" x14ac:dyDescent="0.2">
      <c r="A38" s="2" t="s">
        <v>241</v>
      </c>
      <c r="B38" s="3" t="s">
        <v>242</v>
      </c>
      <c r="C38" s="4">
        <v>0.41799999999999998</v>
      </c>
      <c r="D38" s="4">
        <v>0.42599999999999999</v>
      </c>
      <c r="E38" s="4">
        <v>0.434</v>
      </c>
      <c r="F38" s="4">
        <v>0.44800000000000001</v>
      </c>
      <c r="G38" s="4">
        <v>0.45900000000000002</v>
      </c>
      <c r="H38" s="4">
        <v>0.47199999999999998</v>
      </c>
      <c r="I38" s="4">
        <v>0.48399999999999999</v>
      </c>
      <c r="J38" s="4">
        <v>0.495</v>
      </c>
      <c r="K38" s="4">
        <v>0.50600000000000001</v>
      </c>
      <c r="L38" s="4">
        <v>0.51900000000000002</v>
      </c>
      <c r="M38" s="4">
        <v>0.52800000000000002</v>
      </c>
      <c r="N38" s="4">
        <v>0.53400000000000003</v>
      </c>
      <c r="O38" s="4">
        <v>0.54800000000000004</v>
      </c>
      <c r="P38" s="4">
        <v>0.55400000000000005</v>
      </c>
      <c r="Q38" s="4">
        <v>0.55700000000000005</v>
      </c>
      <c r="R38" s="4">
        <v>0.56299999999999994</v>
      </c>
      <c r="S38" s="4">
        <v>0.56399999999999995</v>
      </c>
      <c r="T38" s="4">
        <v>0.56799999999999995</v>
      </c>
      <c r="U38" s="4">
        <v>0.57099999999999995</v>
      </c>
      <c r="V38" s="4">
        <v>0.57399999999999995</v>
      </c>
      <c r="W38" s="4">
        <v>0.56899999999999995</v>
      </c>
      <c r="X38" s="4">
        <v>0.56499999999999995</v>
      </c>
      <c r="Y38" s="5">
        <v>0.56899999999999995</v>
      </c>
      <c r="Z38" t="s">
        <v>380</v>
      </c>
      <c r="AA38" t="s">
        <v>505</v>
      </c>
      <c r="AB38">
        <v>136</v>
      </c>
      <c r="AC38">
        <f>LN(_xlfn.XLOOKUP(Sheet2!A38,DataSheet!$G$2:$G$267,DataSheet!$H$2:$H$267))</f>
        <v>7.2773327955769442</v>
      </c>
    </row>
    <row r="39" spans="1:29" x14ac:dyDescent="0.2">
      <c r="A39" s="6" t="s">
        <v>159</v>
      </c>
      <c r="B39" s="7" t="s">
        <v>160</v>
      </c>
      <c r="C39" s="8">
        <v>0.38800000000000001</v>
      </c>
      <c r="D39" s="8">
        <v>0.39500000000000002</v>
      </c>
      <c r="E39" s="8">
        <v>0.39900000000000002</v>
      </c>
      <c r="F39" s="8">
        <v>0.40699999999999997</v>
      </c>
      <c r="G39" s="8">
        <v>0.41399999999999998</v>
      </c>
      <c r="H39" s="8">
        <v>0.42099999999999999</v>
      </c>
      <c r="I39" s="8">
        <v>0.42899999999999999</v>
      </c>
      <c r="J39" s="8">
        <v>0.442</v>
      </c>
      <c r="K39" s="8">
        <v>0.45400000000000001</v>
      </c>
      <c r="L39" s="8">
        <v>0.46100000000000002</v>
      </c>
      <c r="M39" s="8">
        <v>0.47</v>
      </c>
      <c r="N39" s="8">
        <v>0.48299999999999998</v>
      </c>
      <c r="O39" s="8">
        <v>0.49099999999999999</v>
      </c>
      <c r="P39" s="8">
        <v>0.497</v>
      </c>
      <c r="Q39" s="8">
        <v>0.501</v>
      </c>
      <c r="R39" s="8">
        <v>0.501</v>
      </c>
      <c r="S39" s="8">
        <v>0.51</v>
      </c>
      <c r="T39" s="8">
        <v>0.51100000000000001</v>
      </c>
      <c r="U39" s="8">
        <v>0.51500000000000001</v>
      </c>
      <c r="V39" s="8">
        <v>0.51400000000000001</v>
      </c>
      <c r="W39" s="8">
        <v>0.51400000000000001</v>
      </c>
      <c r="X39" s="8">
        <v>0.51200000000000001</v>
      </c>
      <c r="Y39" s="9">
        <v>0.51700000000000002</v>
      </c>
      <c r="Z39" t="s">
        <v>380</v>
      </c>
      <c r="AA39" t="s">
        <v>505</v>
      </c>
      <c r="AB39">
        <v>137</v>
      </c>
      <c r="AC39">
        <f>LN(_xlfn.XLOOKUP(Sheet2!A39,DataSheet!$G$2:$G$267,DataSheet!$H$2:$H$267))</f>
        <v>7.3613932877759476</v>
      </c>
    </row>
    <row r="40" spans="1:29" x14ac:dyDescent="0.2">
      <c r="A40" s="2" t="s">
        <v>145</v>
      </c>
      <c r="B40" s="3" t="s">
        <v>146</v>
      </c>
      <c r="C40" s="4">
        <v>0.378</v>
      </c>
      <c r="D40" s="4">
        <v>0.38600000000000001</v>
      </c>
      <c r="E40" s="4">
        <v>0.39400000000000002</v>
      </c>
      <c r="F40" s="4">
        <v>0.40200000000000002</v>
      </c>
      <c r="G40" s="4">
        <v>0.41</v>
      </c>
      <c r="H40" s="4">
        <v>0.41699999999999998</v>
      </c>
      <c r="I40" s="4">
        <v>0.42599999999999999</v>
      </c>
      <c r="J40" s="4">
        <v>0.433</v>
      </c>
      <c r="K40" s="4">
        <v>0.442</v>
      </c>
      <c r="L40" s="4">
        <v>0.45200000000000001</v>
      </c>
      <c r="M40" s="4">
        <v>0.46100000000000002</v>
      </c>
      <c r="N40" s="4">
        <v>0.46899999999999997</v>
      </c>
      <c r="O40" s="4">
        <v>0.47599999999999998</v>
      </c>
      <c r="P40" s="4">
        <v>0.48399999999999999</v>
      </c>
      <c r="Q40" s="4">
        <v>0.49299999999999999</v>
      </c>
      <c r="R40" s="4">
        <v>0.498</v>
      </c>
      <c r="S40" s="4">
        <v>0.501</v>
      </c>
      <c r="T40" s="4">
        <v>0.50600000000000001</v>
      </c>
      <c r="U40" s="4">
        <v>0.50900000000000001</v>
      </c>
      <c r="V40" s="4">
        <v>0.51400000000000001</v>
      </c>
      <c r="W40" s="4">
        <v>0.51200000000000001</v>
      </c>
      <c r="X40" s="4">
        <v>0.50900000000000001</v>
      </c>
      <c r="Y40" s="5">
        <v>0.50800000000000001</v>
      </c>
      <c r="Z40" t="s">
        <v>380</v>
      </c>
      <c r="AA40" t="s">
        <v>505</v>
      </c>
      <c r="AB40">
        <v>147</v>
      </c>
      <c r="AC40">
        <f>LN(_xlfn.XLOOKUP(Sheet2!A40,DataSheet!$G$2:$G$267,DataSheet!$H$2:$H$267))</f>
        <v>6.4040206876474199</v>
      </c>
    </row>
    <row r="41" spans="1:29" x14ac:dyDescent="0.2">
      <c r="A41" s="6" t="s">
        <v>127</v>
      </c>
      <c r="B41" s="7" t="s">
        <v>128</v>
      </c>
      <c r="C41" s="8">
        <v>0.45400000000000001</v>
      </c>
      <c r="D41" s="8">
        <v>0.45300000000000001</v>
      </c>
      <c r="E41" s="8">
        <v>0.45100000000000001</v>
      </c>
      <c r="F41" s="8">
        <v>0.45</v>
      </c>
      <c r="G41" s="8">
        <v>0.45100000000000001</v>
      </c>
      <c r="H41" s="8">
        <v>0.45300000000000001</v>
      </c>
      <c r="I41" s="8">
        <v>0.45500000000000002</v>
      </c>
      <c r="J41" s="8">
        <v>0.45800000000000002</v>
      </c>
      <c r="K41" s="8">
        <v>0.46100000000000002</v>
      </c>
      <c r="L41" s="8">
        <v>0.46500000000000002</v>
      </c>
      <c r="M41" s="8">
        <v>0.47</v>
      </c>
      <c r="N41" s="8">
        <v>0.46800000000000003</v>
      </c>
      <c r="O41" s="8">
        <v>0.47399999999999998</v>
      </c>
      <c r="P41" s="8">
        <v>0.48</v>
      </c>
      <c r="Q41" s="8">
        <v>0.499</v>
      </c>
      <c r="R41" s="8">
        <v>0.501</v>
      </c>
      <c r="S41" s="8">
        <v>0.50600000000000001</v>
      </c>
      <c r="T41" s="8">
        <v>0.51500000000000001</v>
      </c>
      <c r="U41" s="8">
        <v>0.52200000000000002</v>
      </c>
      <c r="V41" s="8">
        <v>0.52900000000000003</v>
      </c>
      <c r="W41" s="8">
        <v>0.53</v>
      </c>
      <c r="X41" s="8">
        <v>0.53</v>
      </c>
      <c r="Y41" s="9">
        <v>0.53400000000000003</v>
      </c>
      <c r="Z41" t="s">
        <v>380</v>
      </c>
      <c r="AA41" t="s">
        <v>505</v>
      </c>
      <c r="AB41">
        <v>149</v>
      </c>
      <c r="AC41">
        <f>LN(_xlfn.XLOOKUP(Sheet2!A41,DataSheet!$G$2:$G$267,DataSheet!$H$2:$H$267))</f>
        <v>7.7550694020942448</v>
      </c>
    </row>
    <row r="42" spans="1:29" x14ac:dyDescent="0.2">
      <c r="A42" s="2" t="s">
        <v>153</v>
      </c>
      <c r="B42" s="3" t="s">
        <v>154</v>
      </c>
      <c r="C42" s="4">
        <v>0.26</v>
      </c>
      <c r="D42" s="4">
        <v>0.26600000000000001</v>
      </c>
      <c r="E42" s="4">
        <v>0.27100000000000002</v>
      </c>
      <c r="F42" s="4">
        <v>0.27600000000000002</v>
      </c>
      <c r="G42" s="4">
        <v>0.28599999999999998</v>
      </c>
      <c r="H42" s="4">
        <v>0.29599999999999999</v>
      </c>
      <c r="I42" s="4">
        <v>0.30299999999999999</v>
      </c>
      <c r="J42" s="4">
        <v>0.309</v>
      </c>
      <c r="K42" s="4">
        <v>0.318</v>
      </c>
      <c r="L42" s="4">
        <v>0.32500000000000001</v>
      </c>
      <c r="M42" s="4">
        <v>0.33600000000000002</v>
      </c>
      <c r="N42" s="4">
        <v>0.34399999999999997</v>
      </c>
      <c r="O42" s="4">
        <v>0.35199999999999998</v>
      </c>
      <c r="P42" s="4">
        <v>0.35799999999999998</v>
      </c>
      <c r="Q42" s="4">
        <v>0.36299999999999999</v>
      </c>
      <c r="R42" s="4">
        <v>0.36699999999999999</v>
      </c>
      <c r="S42" s="4">
        <v>0.372</v>
      </c>
      <c r="T42" s="4">
        <v>0.377</v>
      </c>
      <c r="U42" s="4">
        <v>0.38300000000000001</v>
      </c>
      <c r="V42" s="4">
        <v>0.39</v>
      </c>
      <c r="W42" s="4">
        <v>0.39100000000000001</v>
      </c>
      <c r="X42" s="4">
        <v>0.38900000000000001</v>
      </c>
      <c r="Y42" s="5">
        <v>0.39400000000000002</v>
      </c>
      <c r="Z42" t="s">
        <v>380</v>
      </c>
      <c r="AA42" t="s">
        <v>505</v>
      </c>
      <c r="AB42">
        <v>150</v>
      </c>
      <c r="AC42">
        <f>LN(_xlfn.XLOOKUP(Sheet2!A42,DataSheet!$G$2:$G$267,DataSheet!$H$2:$H$267))</f>
        <v>6.4130410797047963</v>
      </c>
    </row>
    <row r="43" spans="1:29" x14ac:dyDescent="0.2">
      <c r="A43" s="6" t="s">
        <v>31</v>
      </c>
      <c r="B43" s="7" t="s">
        <v>32</v>
      </c>
      <c r="C43" s="8">
        <v>0.63500000000000001</v>
      </c>
      <c r="D43" s="8">
        <v>0.64400000000000002</v>
      </c>
      <c r="E43" s="8">
        <v>0.65400000000000003</v>
      </c>
      <c r="F43" s="8">
        <v>0.66300000000000003</v>
      </c>
      <c r="G43" s="8">
        <v>0.67</v>
      </c>
      <c r="H43" s="8">
        <v>0.68200000000000005</v>
      </c>
      <c r="I43" s="8">
        <v>0.70099999999999996</v>
      </c>
      <c r="J43" s="8">
        <v>0.71399999999999997</v>
      </c>
      <c r="K43" s="8">
        <v>0.72299999999999998</v>
      </c>
      <c r="L43" s="8">
        <v>0.72899999999999998</v>
      </c>
      <c r="M43" s="8">
        <v>0.73299999999999998</v>
      </c>
      <c r="N43" s="8">
        <v>0.73499999999999999</v>
      </c>
      <c r="O43" s="8">
        <v>0.73899999999999999</v>
      </c>
      <c r="P43" s="8">
        <v>0.745</v>
      </c>
      <c r="Q43" s="8">
        <v>0.749</v>
      </c>
      <c r="R43" s="8">
        <v>0.751</v>
      </c>
      <c r="S43" s="8">
        <v>0.752</v>
      </c>
      <c r="T43" s="8">
        <v>0.754</v>
      </c>
      <c r="U43" s="8">
        <v>0.75700000000000001</v>
      </c>
      <c r="V43" s="8">
        <v>0.76200000000000001</v>
      </c>
      <c r="W43" s="8">
        <v>0.72199999999999998</v>
      </c>
      <c r="X43" s="8">
        <v>0.73799999999999999</v>
      </c>
      <c r="Y43" s="9">
        <v>0.76</v>
      </c>
      <c r="Z43" t="s">
        <v>376</v>
      </c>
      <c r="AA43" t="s">
        <v>505</v>
      </c>
      <c r="AB43">
        <v>1</v>
      </c>
      <c r="AC43">
        <f>LN(_xlfn.XLOOKUP(Sheet2!A43,DataSheet!$G$2:$G$267,DataSheet!$H$2:$H$267))</f>
        <v>8.9581019166280154</v>
      </c>
    </row>
    <row r="44" spans="1:29" x14ac:dyDescent="0.2">
      <c r="A44" s="6" t="s">
        <v>155</v>
      </c>
      <c r="B44" s="7" t="s">
        <v>156</v>
      </c>
      <c r="C44" s="8">
        <v>0.434</v>
      </c>
      <c r="D44" s="8">
        <v>0.441</v>
      </c>
      <c r="E44" s="8">
        <v>0.44700000000000001</v>
      </c>
      <c r="F44" s="8">
        <v>0.45500000000000002</v>
      </c>
      <c r="G44" s="8">
        <v>0.46800000000000003</v>
      </c>
      <c r="H44" s="8">
        <v>0.47699999999999998</v>
      </c>
      <c r="I44" s="8">
        <v>0.48499999999999999</v>
      </c>
      <c r="J44" s="8">
        <v>0.49</v>
      </c>
      <c r="K44" s="8">
        <v>0.48899999999999999</v>
      </c>
      <c r="L44" s="8">
        <v>0.49299999999999999</v>
      </c>
      <c r="M44" s="8">
        <v>0.496</v>
      </c>
      <c r="N44" s="8">
        <v>0.5</v>
      </c>
      <c r="O44" s="8">
        <v>0.504</v>
      </c>
      <c r="P44" s="8">
        <v>0.51</v>
      </c>
      <c r="Q44" s="8">
        <v>0.51900000000000002</v>
      </c>
      <c r="R44" s="8">
        <v>0.52500000000000002</v>
      </c>
      <c r="S44" s="8">
        <v>0.53300000000000003</v>
      </c>
      <c r="T44" s="8">
        <v>0.53400000000000003</v>
      </c>
      <c r="U44" s="8">
        <v>0.53500000000000003</v>
      </c>
      <c r="V44" s="8">
        <v>0.53700000000000003</v>
      </c>
      <c r="W44" s="8">
        <v>0.53600000000000003</v>
      </c>
      <c r="X44" s="8">
        <v>0.53700000000000003</v>
      </c>
      <c r="Y44" s="9">
        <v>0.54</v>
      </c>
      <c r="Z44" t="s">
        <v>376</v>
      </c>
      <c r="AA44" t="s">
        <v>505</v>
      </c>
      <c r="AB44">
        <v>9</v>
      </c>
      <c r="AC44">
        <f>LN(_xlfn.XLOOKUP(Sheet2!A44,DataSheet!$G$2:$G$267,DataSheet!$H$2:$H$267))</f>
        <v>7.3384480175087168</v>
      </c>
    </row>
    <row r="45" spans="1:29" x14ac:dyDescent="0.2">
      <c r="A45" s="6" t="s">
        <v>111</v>
      </c>
      <c r="B45" s="7" t="s">
        <v>112</v>
      </c>
      <c r="C45" s="8">
        <v>0.60299999999999998</v>
      </c>
      <c r="D45" s="8">
        <v>0.61</v>
      </c>
      <c r="E45" s="8">
        <v>0.61699999999999999</v>
      </c>
      <c r="F45" s="8">
        <v>0.624</v>
      </c>
      <c r="G45" s="8">
        <v>0.63100000000000001</v>
      </c>
      <c r="H45" s="8">
        <v>0.63600000000000001</v>
      </c>
      <c r="I45" s="8">
        <v>0.64200000000000002</v>
      </c>
      <c r="J45" s="8">
        <v>0.65500000000000003</v>
      </c>
      <c r="K45" s="8">
        <v>0.66</v>
      </c>
      <c r="L45" s="8">
        <v>0.66600000000000004</v>
      </c>
      <c r="M45" s="8">
        <v>0.67500000000000004</v>
      </c>
      <c r="N45" s="8">
        <v>0.68200000000000005</v>
      </c>
      <c r="O45" s="8">
        <v>0.68799999999999994</v>
      </c>
      <c r="P45" s="8">
        <v>0.69299999999999995</v>
      </c>
      <c r="Q45" s="8">
        <v>0.69799999999999995</v>
      </c>
      <c r="R45" s="8">
        <v>0.70099999999999996</v>
      </c>
      <c r="S45" s="8">
        <v>0.70899999999999996</v>
      </c>
      <c r="T45" s="8">
        <v>0.71399999999999997</v>
      </c>
      <c r="U45" s="8">
        <v>0.71899999999999997</v>
      </c>
      <c r="V45" s="8">
        <v>0.72499999999999998</v>
      </c>
      <c r="W45" s="8">
        <v>0.71599999999999997</v>
      </c>
      <c r="X45" s="8">
        <v>0.72099999999999997</v>
      </c>
      <c r="Y45" s="9">
        <v>0.72699999999999998</v>
      </c>
      <c r="Z45" t="s">
        <v>376</v>
      </c>
      <c r="AA45" t="s">
        <v>505</v>
      </c>
      <c r="AB45">
        <v>10</v>
      </c>
      <c r="AC45">
        <f>LN(_xlfn.XLOOKUP(Sheet2!A45,DataSheet!$G$2:$G$267,DataSheet!$H$2:$H$267))</f>
        <v>7.8550278350730833</v>
      </c>
    </row>
    <row r="46" spans="1:29" x14ac:dyDescent="0.2">
      <c r="A46" s="6" t="s">
        <v>287</v>
      </c>
      <c r="B46" s="7" t="s">
        <v>288</v>
      </c>
      <c r="C46" s="8">
        <v>0.83099999999999996</v>
      </c>
      <c r="D46" s="8">
        <v>0.83899999999999997</v>
      </c>
      <c r="E46" s="8">
        <v>0.84599999999999997</v>
      </c>
      <c r="F46" s="8">
        <v>0.85399999999999998</v>
      </c>
      <c r="G46" s="8">
        <v>0.86299999999999999</v>
      </c>
      <c r="H46" s="8">
        <v>0.871</v>
      </c>
      <c r="I46" s="8">
        <v>0.878</v>
      </c>
      <c r="J46" s="8">
        <v>0.89200000000000002</v>
      </c>
      <c r="K46" s="8">
        <v>0.90800000000000003</v>
      </c>
      <c r="L46" s="8">
        <v>0.91</v>
      </c>
      <c r="M46" s="8">
        <v>0.91400000000000003</v>
      </c>
      <c r="N46" s="8">
        <v>0.92100000000000004</v>
      </c>
      <c r="O46" s="8">
        <v>0.92500000000000004</v>
      </c>
      <c r="P46" s="8">
        <v>0.92800000000000005</v>
      </c>
      <c r="Q46" s="8">
        <v>0.93200000000000005</v>
      </c>
      <c r="R46" s="8">
        <v>0.93600000000000005</v>
      </c>
      <c r="S46" s="8">
        <v>0.93899999999999995</v>
      </c>
      <c r="T46" s="8">
        <v>0.94599999999999995</v>
      </c>
      <c r="U46" s="8">
        <v>0.94899999999999995</v>
      </c>
      <c r="V46" s="8">
        <v>0.95299999999999996</v>
      </c>
      <c r="W46" s="8">
        <v>0.95499999999999996</v>
      </c>
      <c r="X46" s="8">
        <v>0.95899999999999996</v>
      </c>
      <c r="Y46" s="9">
        <v>0.95599999999999996</v>
      </c>
      <c r="Z46" t="s">
        <v>376</v>
      </c>
      <c r="AA46" t="s">
        <v>505</v>
      </c>
      <c r="AB46">
        <v>12</v>
      </c>
      <c r="AC46">
        <f>LN(_xlfn.XLOOKUP(Sheet2!A46,DataSheet!$G$2:$G$267,DataSheet!$H$2:$H$267))</f>
        <v>10.796015045917985</v>
      </c>
    </row>
    <row r="47" spans="1:29" x14ac:dyDescent="0.2">
      <c r="A47" s="2" t="s">
        <v>317</v>
      </c>
      <c r="B47" s="3" t="s">
        <v>318</v>
      </c>
      <c r="C47" s="4">
        <v>0.72599999999999998</v>
      </c>
      <c r="D47" s="4">
        <v>0.72599999999999998</v>
      </c>
      <c r="E47" s="4">
        <v>0.72499999999999998</v>
      </c>
      <c r="F47" s="4">
        <v>0.73</v>
      </c>
      <c r="G47" s="4">
        <v>0.73099999999999998</v>
      </c>
      <c r="H47" s="4">
        <v>0.72799999999999998</v>
      </c>
      <c r="I47" s="4">
        <v>0.73199999999999998</v>
      </c>
      <c r="J47" s="4">
        <v>0.74399999999999999</v>
      </c>
      <c r="K47" s="4">
        <v>0.754</v>
      </c>
      <c r="L47" s="4">
        <v>0.76100000000000001</v>
      </c>
      <c r="M47" s="4">
        <v>0.76800000000000002</v>
      </c>
      <c r="N47" s="4">
        <v>0.77100000000000002</v>
      </c>
      <c r="O47" s="4">
        <v>0.77700000000000002</v>
      </c>
      <c r="P47" s="4">
        <v>0.78200000000000003</v>
      </c>
      <c r="Q47" s="4">
        <v>0.78700000000000003</v>
      </c>
      <c r="R47" s="4">
        <v>0.79200000000000004</v>
      </c>
      <c r="S47" s="4">
        <v>0.79800000000000004</v>
      </c>
      <c r="T47" s="4">
        <v>0.8</v>
      </c>
      <c r="U47" s="4">
        <v>0.80200000000000005</v>
      </c>
      <c r="V47" s="4">
        <v>0.80500000000000005</v>
      </c>
      <c r="W47" s="4">
        <v>0.80200000000000005</v>
      </c>
      <c r="X47" s="4">
        <v>0.79800000000000004</v>
      </c>
      <c r="Y47" s="5">
        <v>0.80700000000000005</v>
      </c>
      <c r="Z47" t="s">
        <v>376</v>
      </c>
      <c r="AA47" t="s">
        <v>505</v>
      </c>
      <c r="AB47">
        <v>13</v>
      </c>
      <c r="AC47">
        <f>LN(_xlfn.XLOOKUP(Sheet2!A47,DataSheet!$G$2:$G$267,DataSheet!$H$2:$H$267))</f>
        <v>9.3719971929651855</v>
      </c>
    </row>
    <row r="48" spans="1:29" x14ac:dyDescent="0.2">
      <c r="A48" s="6" t="s">
        <v>303</v>
      </c>
      <c r="B48" s="7" t="s">
        <v>304</v>
      </c>
      <c r="C48" s="8">
        <v>0.68</v>
      </c>
      <c r="D48" s="8">
        <v>0.69499999999999995</v>
      </c>
      <c r="E48" s="8">
        <v>0.70599999999999996</v>
      </c>
      <c r="F48" s="8">
        <v>0.71699999999999997</v>
      </c>
      <c r="G48" s="8">
        <v>0.72899999999999998</v>
      </c>
      <c r="H48" s="8">
        <v>0.73899999999999999</v>
      </c>
      <c r="I48" s="8">
        <v>0.75</v>
      </c>
      <c r="J48" s="8">
        <v>0.75700000000000001</v>
      </c>
      <c r="K48" s="8">
        <v>0.75700000000000001</v>
      </c>
      <c r="L48" s="8">
        <v>0.76</v>
      </c>
      <c r="M48" s="8">
        <v>0.76600000000000001</v>
      </c>
      <c r="N48" s="8">
        <v>0.77400000000000002</v>
      </c>
      <c r="O48" s="8">
        <v>0.78100000000000003</v>
      </c>
      <c r="P48" s="8">
        <v>0.78900000000000003</v>
      </c>
      <c r="Q48" s="8">
        <v>0.79400000000000004</v>
      </c>
      <c r="R48" s="8">
        <v>0.79900000000000004</v>
      </c>
      <c r="S48" s="8">
        <v>0.79700000000000004</v>
      </c>
      <c r="T48" s="8">
        <v>0.80200000000000005</v>
      </c>
      <c r="U48" s="8">
        <v>0.80400000000000005</v>
      </c>
      <c r="V48" s="8">
        <v>0.81</v>
      </c>
      <c r="W48" s="8">
        <v>0.80600000000000005</v>
      </c>
      <c r="X48" s="8">
        <v>0.80100000000000005</v>
      </c>
      <c r="Y48" s="9">
        <v>0.80200000000000005</v>
      </c>
      <c r="Z48" t="s">
        <v>376</v>
      </c>
      <c r="AA48" t="s">
        <v>505</v>
      </c>
      <c r="AB48">
        <v>18</v>
      </c>
      <c r="AC48">
        <f>LN(_xlfn.XLOOKUP(Sheet2!A48,DataSheet!$G$2:$G$267,DataSheet!$H$2:$H$267))</f>
        <v>9.3285979261419598</v>
      </c>
    </row>
    <row r="49" spans="1:29" x14ac:dyDescent="0.2">
      <c r="A49" s="2" t="s">
        <v>93</v>
      </c>
      <c r="B49" s="3" t="s">
        <v>94</v>
      </c>
      <c r="C49" s="4">
        <v>0.63500000000000001</v>
      </c>
      <c r="D49" s="4">
        <v>0.64</v>
      </c>
      <c r="E49" s="4">
        <v>0.64600000000000002</v>
      </c>
      <c r="F49" s="4">
        <v>0.65200000000000002</v>
      </c>
      <c r="G49" s="4">
        <v>0.65800000000000003</v>
      </c>
      <c r="H49" s="4">
        <v>0.65900000000000003</v>
      </c>
      <c r="I49" s="4">
        <v>0.65900000000000003</v>
      </c>
      <c r="J49" s="4">
        <v>0.66300000000000003</v>
      </c>
      <c r="K49" s="4">
        <v>0.66600000000000004</v>
      </c>
      <c r="L49" s="4">
        <v>0.66600000000000004</v>
      </c>
      <c r="M49" s="4">
        <v>0.67300000000000004</v>
      </c>
      <c r="N49" s="4">
        <v>0.67700000000000005</v>
      </c>
      <c r="O49" s="4">
        <v>0.68400000000000005</v>
      </c>
      <c r="P49" s="4">
        <v>0.68899999999999995</v>
      </c>
      <c r="Q49" s="4">
        <v>0.69299999999999995</v>
      </c>
      <c r="R49" s="4">
        <v>0.69599999999999995</v>
      </c>
      <c r="S49" s="4">
        <v>0.69599999999999995</v>
      </c>
      <c r="T49" s="4">
        <v>0.7</v>
      </c>
      <c r="U49" s="4">
        <v>0.70599999999999996</v>
      </c>
      <c r="V49" s="4">
        <v>0.71399999999999997</v>
      </c>
      <c r="W49" s="4">
        <v>0.70499999999999996</v>
      </c>
      <c r="X49" s="4">
        <v>0.69199999999999995</v>
      </c>
      <c r="Y49" s="5">
        <v>0.71</v>
      </c>
      <c r="Z49" t="s">
        <v>376</v>
      </c>
      <c r="AA49" t="s">
        <v>505</v>
      </c>
      <c r="AB49">
        <v>27</v>
      </c>
      <c r="AC49">
        <f>LN(_xlfn.XLOOKUP(Sheet2!A49,DataSheet!$G$2:$G$267,DataSheet!$H$2:$H$267))</f>
        <v>8.1741588781879333</v>
      </c>
    </row>
    <row r="50" spans="1:29" x14ac:dyDescent="0.2">
      <c r="A50" s="2" t="s">
        <v>209</v>
      </c>
      <c r="B50" s="3" t="s">
        <v>210</v>
      </c>
      <c r="C50" s="4">
        <v>0.47299999999999998</v>
      </c>
      <c r="D50" s="4">
        <v>0.48</v>
      </c>
      <c r="E50" s="4">
        <v>0.48899999999999999</v>
      </c>
      <c r="F50" s="4">
        <v>0.498</v>
      </c>
      <c r="G50" s="4">
        <v>0.50600000000000001</v>
      </c>
      <c r="H50" s="4">
        <v>0.51600000000000001</v>
      </c>
      <c r="I50" s="4">
        <v>0.51700000000000002</v>
      </c>
      <c r="J50" s="4">
        <v>0.53100000000000003</v>
      </c>
      <c r="K50" s="4">
        <v>0.53900000000000003</v>
      </c>
      <c r="L50" s="4">
        <v>0.54900000000000004</v>
      </c>
      <c r="M50" s="4">
        <v>0.55700000000000005</v>
      </c>
      <c r="N50" s="4">
        <v>0.56899999999999995</v>
      </c>
      <c r="O50" s="4">
        <v>0.57799999999999996</v>
      </c>
      <c r="P50" s="4">
        <v>0.58699999999999997</v>
      </c>
      <c r="Q50" s="4">
        <v>0.59699999999999998</v>
      </c>
      <c r="R50" s="4">
        <v>0.60399999999999998</v>
      </c>
      <c r="S50" s="4">
        <v>0.61</v>
      </c>
      <c r="T50" s="4">
        <v>0.61199999999999999</v>
      </c>
      <c r="U50" s="4">
        <v>0.61299999999999999</v>
      </c>
      <c r="V50" s="4">
        <v>0.61699999999999999</v>
      </c>
      <c r="W50" s="4">
        <v>0.61599999999999999</v>
      </c>
      <c r="X50" s="4">
        <v>0.61499999999999999</v>
      </c>
      <c r="Y50" s="5">
        <v>0.62</v>
      </c>
      <c r="Z50" t="s">
        <v>376</v>
      </c>
      <c r="AA50" t="s">
        <v>505</v>
      </c>
      <c r="AB50">
        <v>29</v>
      </c>
      <c r="AC50">
        <f>LN(_xlfn.XLOOKUP(Sheet2!A50,DataSheet!$G$2:$G$267,DataSheet!$H$2:$H$267))</f>
        <v>7.6238395809395456</v>
      </c>
    </row>
    <row r="51" spans="1:29" x14ac:dyDescent="0.2">
      <c r="A51" s="2" t="s">
        <v>297</v>
      </c>
      <c r="B51" s="3" t="s">
        <v>298</v>
      </c>
      <c r="C51" s="4">
        <v>0.83499999999999996</v>
      </c>
      <c r="D51" s="4">
        <v>0.83799999999999997</v>
      </c>
      <c r="E51" s="4">
        <v>0.84299999999999997</v>
      </c>
      <c r="F51" s="4">
        <v>0.84299999999999997</v>
      </c>
      <c r="G51" s="4">
        <v>0.84699999999999998</v>
      </c>
      <c r="H51" s="4">
        <v>0.85599999999999998</v>
      </c>
      <c r="I51" s="4">
        <v>0.86399999999999999</v>
      </c>
      <c r="J51" s="4">
        <v>0.876</v>
      </c>
      <c r="K51" s="4">
        <v>0.877</v>
      </c>
      <c r="L51" s="4">
        <v>0.88100000000000001</v>
      </c>
      <c r="M51" s="4">
        <v>0.88700000000000001</v>
      </c>
      <c r="N51" s="4">
        <v>0.89</v>
      </c>
      <c r="O51" s="4">
        <v>0.89100000000000001</v>
      </c>
      <c r="P51" s="4">
        <v>0.89600000000000002</v>
      </c>
      <c r="Q51" s="4">
        <v>0.89900000000000002</v>
      </c>
      <c r="R51" s="4">
        <v>0.89900000000000002</v>
      </c>
      <c r="S51" s="4">
        <v>0.90200000000000002</v>
      </c>
      <c r="T51" s="4">
        <v>0.90600000000000003</v>
      </c>
      <c r="U51" s="4">
        <v>0.90800000000000003</v>
      </c>
      <c r="V51" s="4">
        <v>0.90900000000000003</v>
      </c>
      <c r="W51" s="4">
        <v>0.90600000000000003</v>
      </c>
      <c r="X51" s="4">
        <v>0.91100000000000003</v>
      </c>
      <c r="Y51" s="5">
        <v>0.91500000000000004</v>
      </c>
      <c r="Z51" t="s">
        <v>376</v>
      </c>
      <c r="AA51" t="s">
        <v>504</v>
      </c>
      <c r="AB51">
        <v>31</v>
      </c>
      <c r="AC51">
        <f>LN(_xlfn.XLOOKUP(Sheet2!A51,DataSheet!$G$2:$G$267,DataSheet!$H$2:$H$267))</f>
        <v>10.914172073547821</v>
      </c>
    </row>
    <row r="52" spans="1:29" x14ac:dyDescent="0.2">
      <c r="A52" s="6" t="s">
        <v>327</v>
      </c>
      <c r="B52" s="7" t="s">
        <v>328</v>
      </c>
      <c r="C52" s="8">
        <v>0.70199999999999996</v>
      </c>
      <c r="D52" s="8">
        <v>0.71399999999999997</v>
      </c>
      <c r="E52" s="8">
        <v>0.72199999999999998</v>
      </c>
      <c r="F52" s="8">
        <v>0.73199999999999998</v>
      </c>
      <c r="G52" s="8">
        <v>0.74</v>
      </c>
      <c r="H52" s="8">
        <v>0.748</v>
      </c>
      <c r="I52" s="8">
        <v>0.75700000000000001</v>
      </c>
      <c r="J52" s="8">
        <v>0.76400000000000001</v>
      </c>
      <c r="K52" s="8">
        <v>0.77</v>
      </c>
      <c r="L52" s="8">
        <v>0.78400000000000003</v>
      </c>
      <c r="M52" s="8">
        <v>0.79800000000000004</v>
      </c>
      <c r="N52" s="8">
        <v>0.81100000000000005</v>
      </c>
      <c r="O52" s="8">
        <v>0.81299999999999994</v>
      </c>
      <c r="P52" s="8">
        <v>0.81399999999999995</v>
      </c>
      <c r="Q52" s="8">
        <v>0.81799999999999995</v>
      </c>
      <c r="R52" s="8">
        <v>0.82399999999999995</v>
      </c>
      <c r="S52" s="8">
        <v>0.83199999999999996</v>
      </c>
      <c r="T52" s="8">
        <v>0.83299999999999996</v>
      </c>
      <c r="U52" s="8">
        <v>0.83799999999999997</v>
      </c>
      <c r="V52" s="8">
        <v>0.84099999999999997</v>
      </c>
      <c r="W52" s="8">
        <v>0.82299999999999995</v>
      </c>
      <c r="X52" s="8">
        <v>0.81</v>
      </c>
      <c r="Y52" s="9">
        <v>0.81899999999999995</v>
      </c>
      <c r="Z52" t="s">
        <v>376</v>
      </c>
      <c r="AA52" t="s">
        <v>505</v>
      </c>
      <c r="AB52">
        <v>44</v>
      </c>
      <c r="AC52">
        <f>LN(_xlfn.XLOOKUP(Sheet2!A52,DataSheet!$G$2:$G$267,DataSheet!$H$2:$H$267))</f>
        <v>10.052923545674085</v>
      </c>
    </row>
    <row r="53" spans="1:29" x14ac:dyDescent="0.2">
      <c r="A53" s="6" t="s">
        <v>231</v>
      </c>
      <c r="B53" s="7" t="s">
        <v>232</v>
      </c>
      <c r="C53" s="8">
        <v>0.54800000000000004</v>
      </c>
      <c r="D53" s="8">
        <v>0.55800000000000005</v>
      </c>
      <c r="E53" s="8">
        <v>0.56899999999999995</v>
      </c>
      <c r="F53" s="8">
        <v>0.58099999999999996</v>
      </c>
      <c r="G53" s="8">
        <v>0.59099999999999997</v>
      </c>
      <c r="H53" s="8">
        <v>0.60599999999999998</v>
      </c>
      <c r="I53" s="8">
        <v>0.61499999999999999</v>
      </c>
      <c r="J53" s="8">
        <v>0.62</v>
      </c>
      <c r="K53" s="8">
        <v>0.628</v>
      </c>
      <c r="L53" s="8">
        <v>0.629</v>
      </c>
      <c r="M53" s="8">
        <v>0.63100000000000001</v>
      </c>
      <c r="N53" s="8">
        <v>0.63600000000000001</v>
      </c>
      <c r="O53" s="8">
        <v>0.64100000000000001</v>
      </c>
      <c r="P53" s="8">
        <v>0.64700000000000002</v>
      </c>
      <c r="Q53" s="8">
        <v>0.64900000000000002</v>
      </c>
      <c r="R53" s="8">
        <v>0.65100000000000002</v>
      </c>
      <c r="S53" s="8">
        <v>0.65500000000000003</v>
      </c>
      <c r="T53" s="8">
        <v>0.65900000000000003</v>
      </c>
      <c r="U53" s="8">
        <v>0.66400000000000003</v>
      </c>
      <c r="V53" s="8">
        <v>0.66800000000000004</v>
      </c>
      <c r="W53" s="8">
        <v>0.65600000000000003</v>
      </c>
      <c r="X53" s="8">
        <v>0.67700000000000005</v>
      </c>
      <c r="Y53" s="9">
        <v>0.67900000000000005</v>
      </c>
      <c r="Z53" t="s">
        <v>376</v>
      </c>
      <c r="AA53" t="s">
        <v>505</v>
      </c>
      <c r="AB53">
        <v>46</v>
      </c>
      <c r="AC53">
        <f>LN(_xlfn.XLOOKUP(Sheet2!A53,DataSheet!$G$2:$G$267,DataSheet!$H$2:$H$267))</f>
        <v>6.9586189966148044</v>
      </c>
    </row>
    <row r="54" spans="1:29" x14ac:dyDescent="0.2">
      <c r="A54" s="2" t="s">
        <v>301</v>
      </c>
      <c r="B54" s="3" t="s">
        <v>302</v>
      </c>
      <c r="C54" s="4">
        <v>0.88300000000000001</v>
      </c>
      <c r="D54" s="4">
        <v>0.88500000000000001</v>
      </c>
      <c r="E54" s="4">
        <v>0.88800000000000001</v>
      </c>
      <c r="F54" s="4">
        <v>0.88900000000000001</v>
      </c>
      <c r="G54" s="4">
        <v>0.89300000000000002</v>
      </c>
      <c r="H54" s="4">
        <v>0.89400000000000002</v>
      </c>
      <c r="I54" s="4">
        <v>0.89800000000000002</v>
      </c>
      <c r="J54" s="4">
        <v>0.9</v>
      </c>
      <c r="K54" s="4">
        <v>0.90100000000000002</v>
      </c>
      <c r="L54" s="4">
        <v>0.9</v>
      </c>
      <c r="M54" s="4">
        <v>0.90300000000000002</v>
      </c>
      <c r="N54" s="4">
        <v>0.90200000000000002</v>
      </c>
      <c r="O54" s="4">
        <v>0.90600000000000003</v>
      </c>
      <c r="P54" s="4">
        <v>0.90900000000000003</v>
      </c>
      <c r="Q54" s="4">
        <v>0.91</v>
      </c>
      <c r="R54" s="4">
        <v>0.91300000000000003</v>
      </c>
      <c r="S54" s="4">
        <v>0.91400000000000003</v>
      </c>
      <c r="T54" s="4">
        <v>0.91600000000000004</v>
      </c>
      <c r="U54" s="4">
        <v>0.91700000000000004</v>
      </c>
      <c r="V54" s="4">
        <v>0.91800000000000004</v>
      </c>
      <c r="W54" s="4">
        <v>0.91700000000000004</v>
      </c>
      <c r="X54" s="4">
        <v>0.92</v>
      </c>
      <c r="Y54" s="5">
        <v>0.92</v>
      </c>
      <c r="Z54" t="s">
        <v>376</v>
      </c>
      <c r="AA54" t="s">
        <v>504</v>
      </c>
      <c r="AB54">
        <v>50</v>
      </c>
      <c r="AC54">
        <f>LN(_xlfn.XLOOKUP(Sheet2!A54,DataSheet!$G$2:$G$267,DataSheet!$H$2:$H$267))</f>
        <v>10.436044645128055</v>
      </c>
    </row>
    <row r="55" spans="1:29" x14ac:dyDescent="0.2">
      <c r="A55" s="6" t="s">
        <v>219</v>
      </c>
      <c r="B55" s="7" t="s">
        <v>220</v>
      </c>
      <c r="C55" s="8">
        <v>0.46100000000000002</v>
      </c>
      <c r="D55" s="8">
        <v>0.46200000000000002</v>
      </c>
      <c r="E55" s="8">
        <v>0.46899999999999997</v>
      </c>
      <c r="F55" s="8">
        <v>0.47599999999999998</v>
      </c>
      <c r="G55" s="8">
        <v>0.48399999999999999</v>
      </c>
      <c r="H55" s="8">
        <v>0.49199999999999999</v>
      </c>
      <c r="I55" s="8">
        <v>0.503</v>
      </c>
      <c r="J55" s="8">
        <v>0.50800000000000001</v>
      </c>
      <c r="K55" s="8">
        <v>0.51800000000000002</v>
      </c>
      <c r="L55" s="8">
        <v>0.53</v>
      </c>
      <c r="M55" s="8">
        <v>0.54300000000000004</v>
      </c>
      <c r="N55" s="8">
        <v>0.55200000000000005</v>
      </c>
      <c r="O55" s="8">
        <v>0.55700000000000005</v>
      </c>
      <c r="P55" s="8">
        <v>0.56299999999999994</v>
      </c>
      <c r="Q55" s="8">
        <v>0.56699999999999995</v>
      </c>
      <c r="R55" s="8">
        <v>0.56799999999999995</v>
      </c>
      <c r="S55" s="8">
        <v>0.57399999999999995</v>
      </c>
      <c r="T55" s="8">
        <v>0.58099999999999996</v>
      </c>
      <c r="U55" s="8">
        <v>0.58799999999999997</v>
      </c>
      <c r="V55" s="8">
        <v>0.59799999999999998</v>
      </c>
      <c r="W55" s="8">
        <v>0.59299999999999997</v>
      </c>
      <c r="X55" s="8">
        <v>0.59099999999999997</v>
      </c>
      <c r="Y55" s="9">
        <v>0.60099999999999998</v>
      </c>
      <c r="Z55" t="s">
        <v>376</v>
      </c>
      <c r="AA55" t="s">
        <v>505</v>
      </c>
      <c r="AB55">
        <v>53</v>
      </c>
      <c r="AC55">
        <f>LN(_xlfn.XLOOKUP(Sheet2!A55,DataSheet!$G$2:$G$267,DataSheet!$H$2:$H$267))</f>
        <v>7.2341127187978271</v>
      </c>
    </row>
    <row r="56" spans="1:29" x14ac:dyDescent="0.2">
      <c r="A56" s="2" t="s">
        <v>269</v>
      </c>
      <c r="B56" s="3" t="s">
        <v>270</v>
      </c>
      <c r="C56" s="4">
        <v>0.79700000000000004</v>
      </c>
      <c r="D56" s="4">
        <v>0.80400000000000005</v>
      </c>
      <c r="E56" s="4">
        <v>0.81599999999999995</v>
      </c>
      <c r="F56" s="4">
        <v>0.82499999999999996</v>
      </c>
      <c r="G56" s="4">
        <v>0.83</v>
      </c>
      <c r="H56" s="4">
        <v>0.83299999999999996</v>
      </c>
      <c r="I56" s="4">
        <v>0.83899999999999997</v>
      </c>
      <c r="J56" s="4">
        <v>0.84499999999999997</v>
      </c>
      <c r="K56" s="4">
        <v>0.85299999999999998</v>
      </c>
      <c r="L56" s="4">
        <v>0.85699999999999998</v>
      </c>
      <c r="M56" s="4">
        <v>0.85899999999999999</v>
      </c>
      <c r="N56" s="4">
        <v>0.86299999999999999</v>
      </c>
      <c r="O56" s="4">
        <v>0.86199999999999999</v>
      </c>
      <c r="P56" s="4">
        <v>0.86299999999999999</v>
      </c>
      <c r="Q56" s="4">
        <v>0.86699999999999999</v>
      </c>
      <c r="R56" s="4">
        <v>0.874</v>
      </c>
      <c r="S56" s="4">
        <v>0.88100000000000001</v>
      </c>
      <c r="T56" s="4">
        <v>0.89100000000000001</v>
      </c>
      <c r="U56" s="4">
        <v>0.89600000000000002</v>
      </c>
      <c r="V56" s="4">
        <v>0.90100000000000002</v>
      </c>
      <c r="W56" s="4">
        <v>0.9</v>
      </c>
      <c r="X56" s="4">
        <v>0.90100000000000002</v>
      </c>
      <c r="Y56" s="5">
        <v>0.90700000000000003</v>
      </c>
      <c r="Z56" t="s">
        <v>376</v>
      </c>
      <c r="AA56" t="s">
        <v>504</v>
      </c>
      <c r="AB56">
        <v>56</v>
      </c>
      <c r="AC56">
        <f>LN(_xlfn.XLOOKUP(Sheet2!A56,DataSheet!$G$2:$G$267,DataSheet!$H$2:$H$267))</f>
        <v>10.411239748156701</v>
      </c>
    </row>
    <row r="57" spans="1:29" x14ac:dyDescent="0.2">
      <c r="A57" s="2" t="s">
        <v>65</v>
      </c>
      <c r="B57" s="3" t="s">
        <v>66</v>
      </c>
      <c r="C57" s="4">
        <v>0.69199999999999995</v>
      </c>
      <c r="D57" s="4">
        <v>0.7</v>
      </c>
      <c r="E57" s="4">
        <v>0.70799999999999996</v>
      </c>
      <c r="F57" s="4">
        <v>0.71299999999999997</v>
      </c>
      <c r="G57" s="4">
        <v>0.72199999999999998</v>
      </c>
      <c r="H57" s="4">
        <v>0.72699999999999998</v>
      </c>
      <c r="I57" s="4">
        <v>0.73799999999999999</v>
      </c>
      <c r="J57" s="4">
        <v>0.74199999999999999</v>
      </c>
      <c r="K57" s="4">
        <v>0.74399999999999999</v>
      </c>
      <c r="L57" s="4">
        <v>0.748</v>
      </c>
      <c r="M57" s="4">
        <v>0.75600000000000001</v>
      </c>
      <c r="N57" s="4">
        <v>0.76500000000000001</v>
      </c>
      <c r="O57" s="4">
        <v>0.78</v>
      </c>
      <c r="P57" s="4">
        <v>0.78</v>
      </c>
      <c r="Q57" s="4">
        <v>0.78300000000000003</v>
      </c>
      <c r="R57" s="4">
        <v>0.78200000000000003</v>
      </c>
      <c r="S57" s="4">
        <v>0.78500000000000003</v>
      </c>
      <c r="T57" s="4">
        <v>0.78800000000000003</v>
      </c>
      <c r="U57" s="4">
        <v>0.78700000000000003</v>
      </c>
      <c r="V57" s="4">
        <v>0.78500000000000003</v>
      </c>
      <c r="W57" s="4">
        <v>0.77900000000000003</v>
      </c>
      <c r="X57" s="4">
        <v>0.77600000000000002</v>
      </c>
      <c r="Y57" s="5">
        <v>0.78</v>
      </c>
      <c r="Z57" t="s">
        <v>376</v>
      </c>
      <c r="AA57" t="s">
        <v>505</v>
      </c>
      <c r="AB57">
        <v>57</v>
      </c>
      <c r="AC57">
        <f>LN(_xlfn.XLOOKUP(Sheet2!A57,DataSheet!$G$2:$G$267,DataSheet!$H$2:$H$267))</f>
        <v>8.4598192091666178</v>
      </c>
    </row>
    <row r="58" spans="1:29" x14ac:dyDescent="0.2">
      <c r="A58" s="2" t="s">
        <v>169</v>
      </c>
      <c r="B58" s="3" t="s">
        <v>170</v>
      </c>
      <c r="C58" s="4">
        <v>0.434</v>
      </c>
      <c r="D58" s="4">
        <v>0.44400000000000001</v>
      </c>
      <c r="E58" s="4">
        <v>0.45300000000000001</v>
      </c>
      <c r="F58" s="4">
        <v>0.46200000000000002</v>
      </c>
      <c r="G58" s="4">
        <v>0.47</v>
      </c>
      <c r="H58" s="4">
        <v>0.47599999999999998</v>
      </c>
      <c r="I58" s="4">
        <v>0.48099999999999998</v>
      </c>
      <c r="J58" s="4">
        <v>0.48499999999999999</v>
      </c>
      <c r="K58" s="4">
        <v>0.48799999999999999</v>
      </c>
      <c r="L58" s="4">
        <v>0.49299999999999999</v>
      </c>
      <c r="M58" s="4">
        <v>0.496</v>
      </c>
      <c r="N58" s="4">
        <v>0.495</v>
      </c>
      <c r="O58" s="4">
        <v>0.497</v>
      </c>
      <c r="P58" s="4">
        <v>0.496</v>
      </c>
      <c r="Q58" s="4">
        <v>0.48499999999999999</v>
      </c>
      <c r="R58" s="4">
        <v>0.45500000000000002</v>
      </c>
      <c r="S58" s="4">
        <v>0.443</v>
      </c>
      <c r="T58" s="4">
        <v>0.432</v>
      </c>
      <c r="U58" s="4">
        <v>0.42699999999999999</v>
      </c>
      <c r="V58" s="4">
        <v>0.43</v>
      </c>
      <c r="W58" s="4">
        <v>0.43</v>
      </c>
      <c r="X58" s="4">
        <v>0.42499999999999999</v>
      </c>
      <c r="Y58" s="5">
        <v>0.42399999999999999</v>
      </c>
      <c r="Z58" t="s">
        <v>376</v>
      </c>
      <c r="AA58" t="s">
        <v>505</v>
      </c>
      <c r="AB58">
        <v>59</v>
      </c>
      <c r="AC58" t="e">
        <f>LN(_xlfn.XLOOKUP(Sheet2!A58,DataSheet!$G$2:$G$267,DataSheet!$H$2:$H$267))</f>
        <v>#NUM!</v>
      </c>
    </row>
    <row r="59" spans="1:29" x14ac:dyDescent="0.2">
      <c r="A59" s="6" t="s">
        <v>307</v>
      </c>
      <c r="B59" s="7" t="s">
        <v>308</v>
      </c>
      <c r="C59" s="8">
        <v>0.78</v>
      </c>
      <c r="D59" s="8">
        <v>0.77900000000000003</v>
      </c>
      <c r="E59" s="8">
        <v>0.78500000000000003</v>
      </c>
      <c r="F59" s="8">
        <v>0.79600000000000004</v>
      </c>
      <c r="G59" s="8">
        <v>0.8</v>
      </c>
      <c r="H59" s="8">
        <v>0.8</v>
      </c>
      <c r="I59" s="8">
        <v>0.8</v>
      </c>
      <c r="J59" s="8">
        <v>0.80200000000000005</v>
      </c>
      <c r="K59" s="8">
        <v>0.80600000000000005</v>
      </c>
      <c r="L59" s="8">
        <v>0.80800000000000005</v>
      </c>
      <c r="M59" s="8">
        <v>0.81100000000000005</v>
      </c>
      <c r="N59" s="8">
        <v>0.81699999999999995</v>
      </c>
      <c r="O59" s="8">
        <v>0.82099999999999995</v>
      </c>
      <c r="P59" s="8">
        <v>0.81299999999999994</v>
      </c>
      <c r="Q59" s="8">
        <v>0.81599999999999995</v>
      </c>
      <c r="R59" s="8">
        <v>0.82899999999999996</v>
      </c>
      <c r="S59" s="8">
        <v>0.83199999999999996</v>
      </c>
      <c r="T59" s="8">
        <v>0.83499999999999996</v>
      </c>
      <c r="U59" s="8">
        <v>0.83599999999999997</v>
      </c>
      <c r="V59" s="8">
        <v>0.83799999999999997</v>
      </c>
      <c r="W59" s="8">
        <v>0.82599999999999996</v>
      </c>
      <c r="X59" s="8">
        <v>0.83599999999999997</v>
      </c>
      <c r="Y59" s="9">
        <v>0.84699999999999998</v>
      </c>
      <c r="Z59" t="s">
        <v>376</v>
      </c>
      <c r="AA59" t="s">
        <v>505</v>
      </c>
      <c r="AB59">
        <v>62</v>
      </c>
      <c r="AC59">
        <f>LN(_xlfn.XLOOKUP(Sheet2!A59,DataSheet!$G$2:$G$267,DataSheet!$H$2:$H$267))</f>
        <v>10.596178856700218</v>
      </c>
    </row>
    <row r="60" spans="1:29" x14ac:dyDescent="0.2">
      <c r="A60" s="2" t="s">
        <v>253</v>
      </c>
      <c r="B60" s="3" t="s">
        <v>254</v>
      </c>
      <c r="C60" s="4">
        <v>0.77500000000000002</v>
      </c>
      <c r="D60" s="4">
        <v>0.78600000000000003</v>
      </c>
      <c r="E60" s="4">
        <v>0.79200000000000004</v>
      </c>
      <c r="F60" s="4">
        <v>0.79900000000000004</v>
      </c>
      <c r="G60" s="4">
        <v>0.79500000000000004</v>
      </c>
      <c r="H60" s="4">
        <v>0.79100000000000004</v>
      </c>
      <c r="I60" s="4">
        <v>0.79400000000000004</v>
      </c>
      <c r="J60" s="4">
        <v>0.8</v>
      </c>
      <c r="K60" s="4">
        <v>0.80300000000000005</v>
      </c>
      <c r="L60" s="4">
        <v>0.80300000000000005</v>
      </c>
      <c r="M60" s="4">
        <v>0.80700000000000005</v>
      </c>
      <c r="N60" s="4">
        <v>0.81200000000000006</v>
      </c>
      <c r="O60" s="4">
        <v>0.82699999999999996</v>
      </c>
      <c r="P60" s="4">
        <v>0.83899999999999997</v>
      </c>
      <c r="Q60" s="4">
        <v>0.83899999999999997</v>
      </c>
      <c r="R60" s="4">
        <v>0.85899999999999999</v>
      </c>
      <c r="S60" s="4">
        <v>0.86199999999999999</v>
      </c>
      <c r="T60" s="4">
        <v>0.86699999999999999</v>
      </c>
      <c r="U60" s="4">
        <v>0.88</v>
      </c>
      <c r="V60" s="4">
        <v>0.88800000000000001</v>
      </c>
      <c r="W60" s="4">
        <v>0.88400000000000001</v>
      </c>
      <c r="X60" s="4">
        <v>0.88400000000000001</v>
      </c>
      <c r="Y60" s="5">
        <v>0.88800000000000001</v>
      </c>
      <c r="Z60" t="s">
        <v>376</v>
      </c>
      <c r="AA60" t="s">
        <v>505</v>
      </c>
      <c r="AB60">
        <v>69</v>
      </c>
      <c r="AC60">
        <f>LN(_xlfn.XLOOKUP(Sheet2!A60,DataSheet!$G$2:$G$267,DataSheet!$H$2:$H$267))</f>
        <v>10.324515000156007</v>
      </c>
    </row>
    <row r="61" spans="1:29" x14ac:dyDescent="0.2">
      <c r="A61" s="2" t="s">
        <v>229</v>
      </c>
      <c r="B61" s="3" t="s">
        <v>230</v>
      </c>
      <c r="C61" s="4">
        <v>0.58699999999999997</v>
      </c>
      <c r="D61" s="4">
        <v>0.59499999999999997</v>
      </c>
      <c r="E61" s="4">
        <v>0.60199999999999998</v>
      </c>
      <c r="F61" s="4">
        <v>0.61299999999999999</v>
      </c>
      <c r="G61" s="4">
        <v>0.626</v>
      </c>
      <c r="H61" s="4">
        <v>0.63900000000000001</v>
      </c>
      <c r="I61" s="4">
        <v>0.65</v>
      </c>
      <c r="J61" s="4">
        <v>0.65700000000000003</v>
      </c>
      <c r="K61" s="4">
        <v>0.65100000000000002</v>
      </c>
      <c r="L61" s="4">
        <v>0.66</v>
      </c>
      <c r="M61" s="4">
        <v>0.66100000000000003</v>
      </c>
      <c r="N61" s="4">
        <v>0.68700000000000006</v>
      </c>
      <c r="O61" s="4">
        <v>0.63800000000000001</v>
      </c>
      <c r="P61" s="4">
        <v>0.55800000000000005</v>
      </c>
      <c r="Q61" s="4">
        <v>0.54400000000000004</v>
      </c>
      <c r="R61" s="4">
        <v>0.55200000000000005</v>
      </c>
      <c r="S61" s="4">
        <v>0.55100000000000005</v>
      </c>
      <c r="T61" s="4">
        <v>0.55800000000000005</v>
      </c>
      <c r="U61" s="4">
        <v>0.56299999999999994</v>
      </c>
      <c r="V61" s="4">
        <v>0.56399999999999995</v>
      </c>
      <c r="W61" s="4">
        <v>0.56100000000000005</v>
      </c>
      <c r="X61" s="4">
        <v>0.55800000000000005</v>
      </c>
      <c r="Y61" s="5">
        <v>0.55700000000000005</v>
      </c>
      <c r="Z61" t="s">
        <v>376</v>
      </c>
      <c r="AA61" t="s">
        <v>505</v>
      </c>
      <c r="AB61">
        <v>70</v>
      </c>
      <c r="AC61">
        <f>LN(_xlfn.XLOOKUP(Sheet2!A61,DataSheet!$G$2:$G$267,DataSheet!$H$2:$H$267))</f>
        <v>6.9581360821761988</v>
      </c>
    </row>
    <row r="62" spans="1:29" x14ac:dyDescent="0.2">
      <c r="A62" s="6" t="s">
        <v>215</v>
      </c>
      <c r="B62" s="7" t="s">
        <v>216</v>
      </c>
      <c r="C62" s="8">
        <v>0.40699999999999997</v>
      </c>
      <c r="D62" s="8">
        <v>0.41499999999999998</v>
      </c>
      <c r="E62" s="8">
        <v>0.42499999999999999</v>
      </c>
      <c r="F62" s="8">
        <v>0.435</v>
      </c>
      <c r="G62" s="8">
        <v>0.44500000000000001</v>
      </c>
      <c r="H62" s="8">
        <v>0.45600000000000002</v>
      </c>
      <c r="I62" s="8">
        <v>0.46600000000000003</v>
      </c>
      <c r="J62" s="8">
        <v>0.47499999999999998</v>
      </c>
      <c r="K62" s="8">
        <v>0.46100000000000002</v>
      </c>
      <c r="L62" s="8">
        <v>0.497</v>
      </c>
      <c r="M62" s="8">
        <v>0.50600000000000001</v>
      </c>
      <c r="N62" s="8">
        <v>0.51700000000000002</v>
      </c>
      <c r="O62" s="8">
        <v>0.52600000000000002</v>
      </c>
      <c r="P62" s="8">
        <v>0.53800000000000003</v>
      </c>
      <c r="Q62" s="8">
        <v>0.54800000000000004</v>
      </c>
      <c r="R62" s="8">
        <v>0.55700000000000005</v>
      </c>
      <c r="S62" s="8">
        <v>0.56699999999999995</v>
      </c>
      <c r="T62" s="8">
        <v>0.57999999999999996</v>
      </c>
      <c r="U62" s="8">
        <v>0.59499999999999997</v>
      </c>
      <c r="V62" s="8">
        <v>0.60799999999999998</v>
      </c>
      <c r="W62" s="8">
        <v>0.61499999999999999</v>
      </c>
      <c r="X62" s="8">
        <v>0.59899999999999998</v>
      </c>
      <c r="Y62" s="9">
        <v>0.60799999999999998</v>
      </c>
      <c r="Z62" t="s">
        <v>376</v>
      </c>
      <c r="AA62" t="s">
        <v>505</v>
      </c>
      <c r="AB62">
        <v>75</v>
      </c>
      <c r="AC62">
        <f>LN(_xlfn.XLOOKUP(Sheet2!A62,DataSheet!$G$2:$G$267,DataSheet!$H$2:$H$267))</f>
        <v>7.0544928782697491</v>
      </c>
    </row>
    <row r="63" spans="1:29" x14ac:dyDescent="0.2">
      <c r="A63" s="2" t="s">
        <v>29</v>
      </c>
      <c r="B63" s="3" t="s">
        <v>30</v>
      </c>
      <c r="C63" s="4">
        <v>0.65600000000000003</v>
      </c>
      <c r="D63" s="4">
        <v>0.66100000000000003</v>
      </c>
      <c r="E63" s="4">
        <v>0.67</v>
      </c>
      <c r="F63" s="4">
        <v>0.68100000000000005</v>
      </c>
      <c r="G63" s="4">
        <v>0.68899999999999995</v>
      </c>
      <c r="H63" s="4">
        <v>0.70099999999999996</v>
      </c>
      <c r="I63" s="4">
        <v>0.71399999999999997</v>
      </c>
      <c r="J63" s="4">
        <v>0.73</v>
      </c>
      <c r="K63" s="4">
        <v>0.73299999999999998</v>
      </c>
      <c r="L63" s="4">
        <v>0.73199999999999998</v>
      </c>
      <c r="M63" s="4">
        <v>0.73899999999999999</v>
      </c>
      <c r="N63" s="4">
        <v>0.74299999999999999</v>
      </c>
      <c r="O63" s="4">
        <v>0.751</v>
      </c>
      <c r="P63" s="4">
        <v>0.75700000000000001</v>
      </c>
      <c r="Q63" s="4">
        <v>0.76400000000000001</v>
      </c>
      <c r="R63" s="4">
        <v>0.76900000000000002</v>
      </c>
      <c r="S63" s="4">
        <v>0.77300000000000002</v>
      </c>
      <c r="T63" s="4">
        <v>0.77500000000000002</v>
      </c>
      <c r="U63" s="4">
        <v>0.78100000000000003</v>
      </c>
      <c r="V63" s="4">
        <v>0.78900000000000003</v>
      </c>
      <c r="W63" s="4">
        <v>0.76900000000000002</v>
      </c>
      <c r="X63" s="4">
        <v>0.77400000000000002</v>
      </c>
      <c r="Y63" s="5">
        <v>0.78600000000000003</v>
      </c>
      <c r="Z63" t="s">
        <v>376</v>
      </c>
      <c r="AA63" t="s">
        <v>505</v>
      </c>
      <c r="AB63">
        <v>77</v>
      </c>
      <c r="AC63">
        <f>LN(_xlfn.XLOOKUP(Sheet2!A63,DataSheet!$G$2:$G$267,DataSheet!$H$2:$H$267))</f>
        <v>8.790569592965797</v>
      </c>
    </row>
    <row r="64" spans="1:29" x14ac:dyDescent="0.2">
      <c r="A64" s="2" t="s">
        <v>305</v>
      </c>
      <c r="B64" s="3" t="s">
        <v>306</v>
      </c>
      <c r="C64" s="4">
        <v>0.82399999999999995</v>
      </c>
      <c r="D64" s="4">
        <v>0.83199999999999996</v>
      </c>
      <c r="E64" s="4">
        <v>0.84099999999999997</v>
      </c>
      <c r="F64" s="4">
        <v>0.84499999999999997</v>
      </c>
      <c r="G64" s="4">
        <v>0.85299999999999998</v>
      </c>
      <c r="H64" s="4">
        <v>0.86099999999999999</v>
      </c>
      <c r="I64" s="4">
        <v>0.86599999999999999</v>
      </c>
      <c r="J64" s="4">
        <v>0.871</v>
      </c>
      <c r="K64" s="4">
        <v>0.874</v>
      </c>
      <c r="L64" s="4">
        <v>0.876</v>
      </c>
      <c r="M64" s="4">
        <v>0.89</v>
      </c>
      <c r="N64" s="4">
        <v>0.89500000000000002</v>
      </c>
      <c r="O64" s="4">
        <v>0.89700000000000002</v>
      </c>
      <c r="P64" s="4">
        <v>0.90200000000000002</v>
      </c>
      <c r="Q64" s="4">
        <v>0.90600000000000003</v>
      </c>
      <c r="R64" s="4">
        <v>0.90800000000000003</v>
      </c>
      <c r="S64" s="4">
        <v>0.91200000000000003</v>
      </c>
      <c r="T64" s="4">
        <v>0.91500000000000004</v>
      </c>
      <c r="U64" s="4">
        <v>0.91800000000000004</v>
      </c>
      <c r="V64" s="4">
        <v>0.92200000000000004</v>
      </c>
      <c r="W64" s="4">
        <v>0.92200000000000004</v>
      </c>
      <c r="X64" s="4">
        <v>0.92600000000000005</v>
      </c>
      <c r="Y64" s="5">
        <v>0.92900000000000005</v>
      </c>
      <c r="Z64" t="s">
        <v>376</v>
      </c>
      <c r="AA64" t="s">
        <v>505</v>
      </c>
      <c r="AB64">
        <v>88</v>
      </c>
      <c r="AC64">
        <f>LN(_xlfn.XLOOKUP(Sheet2!A64,DataSheet!$G$2:$G$267,DataSheet!$H$2:$H$267))</f>
        <v>10.458016274693851</v>
      </c>
    </row>
    <row r="65" spans="1:29" x14ac:dyDescent="0.2">
      <c r="A65" s="2" t="s">
        <v>261</v>
      </c>
      <c r="B65" s="3" t="s">
        <v>262</v>
      </c>
      <c r="C65" s="4">
        <v>0.78900000000000003</v>
      </c>
      <c r="D65" s="4">
        <v>0.79200000000000004</v>
      </c>
      <c r="E65" s="4">
        <v>0.79600000000000004</v>
      </c>
      <c r="F65" s="4">
        <v>0.80200000000000005</v>
      </c>
      <c r="G65" s="4">
        <v>0.80700000000000005</v>
      </c>
      <c r="H65" s="4">
        <v>0.81100000000000005</v>
      </c>
      <c r="I65" s="4">
        <v>0.81699999999999995</v>
      </c>
      <c r="J65" s="4">
        <v>0.82</v>
      </c>
      <c r="K65" s="4">
        <v>0.82099999999999995</v>
      </c>
      <c r="L65" s="4">
        <v>0.82299999999999995</v>
      </c>
      <c r="M65" s="4">
        <v>0.82499999999999996</v>
      </c>
      <c r="N65" s="4">
        <v>0.82899999999999996</v>
      </c>
      <c r="O65" s="4">
        <v>0.83599999999999997</v>
      </c>
      <c r="P65" s="4">
        <v>0.83499999999999996</v>
      </c>
      <c r="Q65" s="4">
        <v>0.83399999999999996</v>
      </c>
      <c r="R65" s="4">
        <v>0.83199999999999996</v>
      </c>
      <c r="S65" s="4">
        <v>0.83</v>
      </c>
      <c r="T65" s="4">
        <v>0.82899999999999996</v>
      </c>
      <c r="U65" s="4">
        <v>0.82599999999999996</v>
      </c>
      <c r="V65" s="4">
        <v>0.82699999999999996</v>
      </c>
      <c r="W65" s="4">
        <v>0.82699999999999996</v>
      </c>
      <c r="X65" s="4">
        <v>0.82399999999999995</v>
      </c>
      <c r="Y65" s="5">
        <v>0.82299999999999995</v>
      </c>
      <c r="Z65" t="s">
        <v>376</v>
      </c>
      <c r="AA65" t="s">
        <v>505</v>
      </c>
      <c r="AB65">
        <v>90</v>
      </c>
      <c r="AC65">
        <f>LN(_xlfn.XLOOKUP(Sheet2!A65,DataSheet!$G$2:$G$267,DataSheet!$H$2:$H$267))</f>
        <v>10.508702789787989</v>
      </c>
    </row>
    <row r="66" spans="1:29" x14ac:dyDescent="0.2">
      <c r="A66" s="6" t="s">
        <v>71</v>
      </c>
      <c r="B66" s="7" t="s">
        <v>72</v>
      </c>
      <c r="C66" s="8">
        <v>0.61699999999999999</v>
      </c>
      <c r="D66" s="8">
        <v>0.626</v>
      </c>
      <c r="E66" s="8">
        <v>0.627</v>
      </c>
      <c r="F66" s="8">
        <v>0.63500000000000001</v>
      </c>
      <c r="G66" s="8">
        <v>0.63800000000000001</v>
      </c>
      <c r="H66" s="8">
        <v>0.64</v>
      </c>
      <c r="I66" s="8">
        <v>0.64600000000000002</v>
      </c>
      <c r="J66" s="8">
        <v>0.65200000000000002</v>
      </c>
      <c r="K66" s="8">
        <v>0.65700000000000003</v>
      </c>
      <c r="L66" s="8">
        <v>0.66100000000000003</v>
      </c>
      <c r="M66" s="8">
        <v>0.66100000000000003</v>
      </c>
      <c r="N66" s="8">
        <v>0.66400000000000003</v>
      </c>
      <c r="O66" s="8">
        <v>0.67300000000000004</v>
      </c>
      <c r="P66" s="8">
        <v>0.68</v>
      </c>
      <c r="Q66" s="8">
        <v>0.68600000000000005</v>
      </c>
      <c r="R66" s="8">
        <v>0.68899999999999995</v>
      </c>
      <c r="S66" s="8">
        <v>0.69199999999999995</v>
      </c>
      <c r="T66" s="8">
        <v>0.69499999999999995</v>
      </c>
      <c r="U66" s="8">
        <v>0.69799999999999995</v>
      </c>
      <c r="V66" s="8">
        <v>0.69899999999999995</v>
      </c>
      <c r="W66" s="8">
        <v>0.69099999999999995</v>
      </c>
      <c r="X66" s="8">
        <v>0.69599999999999995</v>
      </c>
      <c r="Y66" s="9">
        <v>0.70099999999999996</v>
      </c>
      <c r="Z66" t="s">
        <v>376</v>
      </c>
      <c r="AA66" t="s">
        <v>505</v>
      </c>
      <c r="AB66">
        <v>97</v>
      </c>
      <c r="AC66">
        <f>LN(_xlfn.XLOOKUP(Sheet2!A66,DataSheet!$G$2:$G$267,DataSheet!$H$2:$H$267))</f>
        <v>7.4614795631843265</v>
      </c>
    </row>
    <row r="67" spans="1:29" x14ac:dyDescent="0.2">
      <c r="A67" s="6" t="s">
        <v>171</v>
      </c>
      <c r="B67" s="7" t="s">
        <v>172</v>
      </c>
      <c r="C67" s="8">
        <v>0.49099999999999999</v>
      </c>
      <c r="D67" s="8">
        <v>0.498</v>
      </c>
      <c r="E67" s="8">
        <v>0.505</v>
      </c>
      <c r="F67" s="8">
        <v>0.51100000000000001</v>
      </c>
      <c r="G67" s="8">
        <v>0.51800000000000002</v>
      </c>
      <c r="H67" s="8">
        <v>0.52500000000000002</v>
      </c>
      <c r="I67" s="8">
        <v>0.53</v>
      </c>
      <c r="J67" s="8">
        <v>0.53300000000000003</v>
      </c>
      <c r="K67" s="8">
        <v>0.53500000000000003</v>
      </c>
      <c r="L67" s="8">
        <v>0.54700000000000004</v>
      </c>
      <c r="M67" s="8">
        <v>0.55800000000000005</v>
      </c>
      <c r="N67" s="8">
        <v>0.56499999999999995</v>
      </c>
      <c r="O67" s="8">
        <v>0.57499999999999996</v>
      </c>
      <c r="P67" s="8">
        <v>0.57699999999999996</v>
      </c>
      <c r="Q67" s="8">
        <v>0.58499999999999996</v>
      </c>
      <c r="R67" s="8">
        <v>0.60399999999999998</v>
      </c>
      <c r="S67" s="8">
        <v>0.61299999999999999</v>
      </c>
      <c r="T67" s="8">
        <v>0.622</v>
      </c>
      <c r="U67" s="8">
        <v>0.63600000000000001</v>
      </c>
      <c r="V67" s="8">
        <v>0.64600000000000002</v>
      </c>
      <c r="W67" s="8">
        <v>0.65700000000000003</v>
      </c>
      <c r="X67" s="8">
        <v>0.66200000000000003</v>
      </c>
      <c r="Y67" s="9">
        <v>0.67</v>
      </c>
      <c r="Z67" t="s">
        <v>376</v>
      </c>
      <c r="AA67" t="s">
        <v>505</v>
      </c>
      <c r="AB67">
        <v>100</v>
      </c>
      <c r="AC67">
        <f>LN(_xlfn.XLOOKUP(Sheet2!A67,DataSheet!$G$2:$G$267,DataSheet!$H$2:$H$267))</f>
        <v>7.9070943865193017</v>
      </c>
    </row>
    <row r="68" spans="1:29" x14ac:dyDescent="0.2">
      <c r="A68" s="2" t="s">
        <v>69</v>
      </c>
      <c r="B68" s="3" t="s">
        <v>70</v>
      </c>
      <c r="C68" s="4">
        <v>0.68100000000000005</v>
      </c>
      <c r="D68" s="4">
        <v>0.68700000000000006</v>
      </c>
      <c r="E68" s="4">
        <v>0.69099999999999995</v>
      </c>
      <c r="F68" s="4">
        <v>0.69699999999999995</v>
      </c>
      <c r="G68" s="4">
        <v>0.70699999999999996</v>
      </c>
      <c r="H68" s="4">
        <v>0.71299999999999997</v>
      </c>
      <c r="I68" s="4">
        <v>0.71899999999999997</v>
      </c>
      <c r="J68" s="4">
        <v>0.71599999999999997</v>
      </c>
      <c r="K68" s="4">
        <v>0.72599999999999998</v>
      </c>
      <c r="L68" s="4">
        <v>0.72799999999999998</v>
      </c>
      <c r="M68" s="4">
        <v>0.72699999999999998</v>
      </c>
      <c r="N68" s="4">
        <v>0.73</v>
      </c>
      <c r="O68" s="4">
        <v>0.73599999999999999</v>
      </c>
      <c r="P68" s="4">
        <v>0.73799999999999999</v>
      </c>
      <c r="Q68" s="4">
        <v>0.73699999999999999</v>
      </c>
      <c r="R68" s="4">
        <v>0.73799999999999999</v>
      </c>
      <c r="S68" s="4">
        <v>0.74</v>
      </c>
      <c r="T68" s="4">
        <v>0.74399999999999999</v>
      </c>
      <c r="U68" s="4">
        <v>0.74199999999999999</v>
      </c>
      <c r="V68" s="4">
        <v>0.74399999999999999</v>
      </c>
      <c r="W68" s="4">
        <v>0.74</v>
      </c>
      <c r="X68" s="4">
        <v>0.73599999999999999</v>
      </c>
      <c r="Y68" s="5">
        <v>0.73599999999999999</v>
      </c>
      <c r="Z68" t="s">
        <v>376</v>
      </c>
      <c r="AA68" t="s">
        <v>505</v>
      </c>
      <c r="AB68">
        <v>108</v>
      </c>
      <c r="AC68">
        <f>LN(_xlfn.XLOOKUP(Sheet2!A68,DataSheet!$G$2:$G$267,DataSheet!$H$2:$H$267))</f>
        <v>8.3738426858433872</v>
      </c>
    </row>
    <row r="69" spans="1:29" x14ac:dyDescent="0.2">
      <c r="A69" s="6" t="s">
        <v>115</v>
      </c>
      <c r="B69" s="7" t="s">
        <v>116</v>
      </c>
      <c r="C69" s="8">
        <v>0.34</v>
      </c>
      <c r="D69" s="8">
        <v>0.34399999999999997</v>
      </c>
      <c r="E69" s="8">
        <v>0.36799999999999999</v>
      </c>
      <c r="F69" s="8">
        <v>0.379</v>
      </c>
      <c r="G69" s="8">
        <v>0.39500000000000002</v>
      </c>
      <c r="H69" s="8">
        <v>0.40200000000000002</v>
      </c>
      <c r="I69" s="8">
        <v>0.41</v>
      </c>
      <c r="J69" s="8">
        <v>0.42599999999999999</v>
      </c>
      <c r="K69" s="8">
        <v>0.43099999999999999</v>
      </c>
      <c r="L69" s="8">
        <v>0.441</v>
      </c>
      <c r="M69" s="8">
        <v>0.44900000000000001</v>
      </c>
      <c r="N69" s="8">
        <v>0.45700000000000002</v>
      </c>
      <c r="O69" s="8">
        <v>0.46700000000000003</v>
      </c>
      <c r="P69" s="8">
        <v>0.47499999999999998</v>
      </c>
      <c r="Q69" s="8">
        <v>0.48</v>
      </c>
      <c r="R69" s="8">
        <v>0.47899999999999998</v>
      </c>
      <c r="S69" s="8">
        <v>0.48299999999999998</v>
      </c>
      <c r="T69" s="8">
        <v>0.48499999999999999</v>
      </c>
      <c r="U69" s="8">
        <v>0.48599999999999999</v>
      </c>
      <c r="V69" s="8">
        <v>0.49199999999999999</v>
      </c>
      <c r="W69" s="8">
        <v>0.48799999999999999</v>
      </c>
      <c r="X69" s="8">
        <v>0.47299999999999998</v>
      </c>
      <c r="Y69" s="9">
        <v>0.46200000000000002</v>
      </c>
      <c r="Z69" t="s">
        <v>376</v>
      </c>
      <c r="AA69" t="s">
        <v>505</v>
      </c>
      <c r="AB69">
        <v>110</v>
      </c>
      <c r="AC69">
        <f>LN(_xlfn.XLOOKUP(Sheet2!A69,DataSheet!$G$2:$G$267,DataSheet!$H$2:$H$267))</f>
        <v>5.8784670353569624</v>
      </c>
    </row>
    <row r="70" spans="1:29" x14ac:dyDescent="0.2">
      <c r="A70" s="6" t="s">
        <v>103</v>
      </c>
      <c r="B70" s="7" t="s">
        <v>104</v>
      </c>
      <c r="C70" s="8">
        <v>0.68899999999999995</v>
      </c>
      <c r="D70" s="8">
        <v>0.69099999999999995</v>
      </c>
      <c r="E70" s="8">
        <v>0.69499999999999995</v>
      </c>
      <c r="F70" s="8">
        <v>0.7</v>
      </c>
      <c r="G70" s="8">
        <v>0.68300000000000005</v>
      </c>
      <c r="H70" s="8">
        <v>0.71</v>
      </c>
      <c r="I70" s="8">
        <v>0.71299999999999997</v>
      </c>
      <c r="J70" s="8">
        <v>0.71799999999999997</v>
      </c>
      <c r="K70" s="8">
        <v>0.71899999999999997</v>
      </c>
      <c r="L70" s="8">
        <v>0.71099999999999997</v>
      </c>
      <c r="M70" s="8">
        <v>0.73499999999999999</v>
      </c>
      <c r="N70" s="8">
        <v>0.74099999999999999</v>
      </c>
      <c r="O70" s="8">
        <v>0.747</v>
      </c>
      <c r="P70" s="8">
        <v>0.752</v>
      </c>
      <c r="Q70" s="8">
        <v>0.75700000000000001</v>
      </c>
      <c r="R70" s="8">
        <v>0.76</v>
      </c>
      <c r="S70" s="8">
        <v>0.76500000000000001</v>
      </c>
      <c r="T70" s="8">
        <v>0.77</v>
      </c>
      <c r="U70" s="8">
        <v>0.77400000000000002</v>
      </c>
      <c r="V70" s="8">
        <v>0.77500000000000002</v>
      </c>
      <c r="W70" s="8">
        <v>0.77700000000000002</v>
      </c>
      <c r="X70" s="8">
        <v>0.78300000000000003</v>
      </c>
      <c r="Y70" s="9">
        <v>0.78</v>
      </c>
      <c r="Z70" t="s">
        <v>376</v>
      </c>
      <c r="AA70" t="s">
        <v>505</v>
      </c>
      <c r="AB70">
        <v>112</v>
      </c>
      <c r="AC70">
        <f>LN(_xlfn.XLOOKUP(Sheet2!A70,DataSheet!$G$2:$G$267,DataSheet!$H$2:$H$267))</f>
        <v>8.1145151458385971</v>
      </c>
    </row>
    <row r="71" spans="1:29" x14ac:dyDescent="0.2">
      <c r="A71" s="2" t="s">
        <v>281</v>
      </c>
      <c r="B71" s="3" t="s">
        <v>282</v>
      </c>
      <c r="C71" s="4">
        <v>0.69399999999999995</v>
      </c>
      <c r="D71" s="4">
        <v>0.7</v>
      </c>
      <c r="E71" s="4">
        <v>0.70899999999999996</v>
      </c>
      <c r="F71" s="4">
        <v>0.71899999999999997</v>
      </c>
      <c r="G71" s="4">
        <v>0.72699999999999998</v>
      </c>
      <c r="H71" s="4">
        <v>0.73799999999999999</v>
      </c>
      <c r="I71" s="4">
        <v>0.74399999999999999</v>
      </c>
      <c r="J71" s="4">
        <v>0.755</v>
      </c>
      <c r="K71" s="4">
        <v>0.751</v>
      </c>
      <c r="L71" s="4">
        <v>0.75600000000000001</v>
      </c>
      <c r="M71" s="4">
        <v>0.76300000000000001</v>
      </c>
      <c r="N71" s="4">
        <v>0.77100000000000002</v>
      </c>
      <c r="O71" s="4">
        <v>0.77900000000000003</v>
      </c>
      <c r="P71" s="4">
        <v>0.78400000000000003</v>
      </c>
      <c r="Q71" s="4">
        <v>0.79300000000000004</v>
      </c>
      <c r="R71" s="4">
        <v>0.79800000000000004</v>
      </c>
      <c r="S71" s="4">
        <v>0.80200000000000005</v>
      </c>
      <c r="T71" s="4">
        <v>0.80700000000000005</v>
      </c>
      <c r="U71" s="4">
        <v>0.81599999999999995</v>
      </c>
      <c r="V71" s="4">
        <v>0.81599999999999995</v>
      </c>
      <c r="W71" s="4">
        <v>0.80700000000000005</v>
      </c>
      <c r="X71" s="4">
        <v>0.80900000000000005</v>
      </c>
      <c r="Y71" s="5">
        <v>0.81399999999999995</v>
      </c>
      <c r="Z71" t="s">
        <v>376</v>
      </c>
      <c r="AA71" t="s">
        <v>505</v>
      </c>
      <c r="AB71">
        <v>113</v>
      </c>
      <c r="AC71">
        <f>LN(_xlfn.XLOOKUP(Sheet2!A71,DataSheet!$G$2:$G$267,DataSheet!$H$2:$H$267))</f>
        <v>8.8143076289168878</v>
      </c>
    </row>
    <row r="72" spans="1:29" x14ac:dyDescent="0.2">
      <c r="A72" s="6" t="s">
        <v>75</v>
      </c>
      <c r="B72" s="7" t="s">
        <v>76</v>
      </c>
      <c r="C72" s="8">
        <v>0.63500000000000001</v>
      </c>
      <c r="D72" s="8">
        <v>0.63900000000000001</v>
      </c>
      <c r="E72" s="8">
        <v>0.64200000000000002</v>
      </c>
      <c r="F72" s="8">
        <v>0.65500000000000003</v>
      </c>
      <c r="G72" s="8">
        <v>0.65600000000000003</v>
      </c>
      <c r="H72" s="8">
        <v>0.65500000000000003</v>
      </c>
      <c r="I72" s="8">
        <v>0.67</v>
      </c>
      <c r="J72" s="8">
        <v>0.67</v>
      </c>
      <c r="K72" s="8">
        <v>0.68200000000000005</v>
      </c>
      <c r="L72" s="8">
        <v>0.68400000000000005</v>
      </c>
      <c r="M72" s="8">
        <v>0.69199999999999995</v>
      </c>
      <c r="N72" s="8">
        <v>0.70099999999999996</v>
      </c>
      <c r="O72" s="8">
        <v>0.70799999999999996</v>
      </c>
      <c r="P72" s="8">
        <v>0.71499999999999997</v>
      </c>
      <c r="Q72" s="8">
        <v>0.72299999999999998</v>
      </c>
      <c r="R72" s="8">
        <v>0.72799999999999998</v>
      </c>
      <c r="S72" s="8">
        <v>0.73399999999999999</v>
      </c>
      <c r="T72" s="8">
        <v>0.74</v>
      </c>
      <c r="U72" s="8">
        <v>0.747</v>
      </c>
      <c r="V72" s="8">
        <v>0.753</v>
      </c>
      <c r="W72" s="8">
        <v>0.73699999999999999</v>
      </c>
      <c r="X72" s="8">
        <v>0.753</v>
      </c>
      <c r="Y72" s="9">
        <v>0.76200000000000001</v>
      </c>
      <c r="Z72" t="s">
        <v>376</v>
      </c>
      <c r="AA72" t="s">
        <v>505</v>
      </c>
      <c r="AB72">
        <v>114</v>
      </c>
      <c r="AC72">
        <f>LN(_xlfn.XLOOKUP(Sheet2!A72,DataSheet!$G$2:$G$267,DataSheet!$H$2:$H$267))</f>
        <v>9.3746692859633196</v>
      </c>
    </row>
    <row r="73" spans="1:29" x14ac:dyDescent="0.2">
      <c r="A73" s="2" t="s">
        <v>201</v>
      </c>
      <c r="B73" s="3" t="s">
        <v>202</v>
      </c>
      <c r="C73" s="4">
        <v>0.49</v>
      </c>
      <c r="D73" s="4">
        <v>0.495</v>
      </c>
      <c r="E73" s="4">
        <v>0.501</v>
      </c>
      <c r="F73" s="4">
        <v>0.51400000000000001</v>
      </c>
      <c r="G73" s="4">
        <v>0.52300000000000002</v>
      </c>
      <c r="H73" s="4">
        <v>0.53200000000000003</v>
      </c>
      <c r="I73" s="4">
        <v>0.54100000000000004</v>
      </c>
      <c r="J73" s="4">
        <v>0.55000000000000004</v>
      </c>
      <c r="K73" s="4">
        <v>0.55700000000000005</v>
      </c>
      <c r="L73" s="4">
        <v>0.56200000000000006</v>
      </c>
      <c r="M73" s="4">
        <v>0.57199999999999995</v>
      </c>
      <c r="N73" s="4">
        <v>0.58599999999999997</v>
      </c>
      <c r="O73" s="4">
        <v>0.59399999999999997</v>
      </c>
      <c r="P73" s="4">
        <v>0.6</v>
      </c>
      <c r="Q73" s="4">
        <v>0.61099999999999999</v>
      </c>
      <c r="R73" s="4">
        <v>0.61899999999999999</v>
      </c>
      <c r="S73" s="4">
        <v>0.63</v>
      </c>
      <c r="T73" s="4">
        <v>0.63600000000000001</v>
      </c>
      <c r="U73" s="4">
        <v>0.63600000000000001</v>
      </c>
      <c r="V73" s="4">
        <v>0.63800000000000001</v>
      </c>
      <c r="W73" s="4">
        <v>0.63800000000000001</v>
      </c>
      <c r="X73" s="4">
        <v>0.63300000000000001</v>
      </c>
      <c r="Y73" s="5">
        <v>0.64400000000000002</v>
      </c>
      <c r="Z73" t="s">
        <v>376</v>
      </c>
      <c r="AA73" t="s">
        <v>505</v>
      </c>
      <c r="AB73">
        <v>119</v>
      </c>
      <c r="AC73">
        <f>LN(_xlfn.XLOOKUP(Sheet2!A73,DataSheet!$G$2:$G$267,DataSheet!$H$2:$H$267))</f>
        <v>7.761084183150774</v>
      </c>
    </row>
    <row r="74" spans="1:29" x14ac:dyDescent="0.2">
      <c r="A74" s="6" t="s">
        <v>367</v>
      </c>
      <c r="B74" s="7" t="s">
        <v>368</v>
      </c>
      <c r="C74" s="8">
        <v>0.79</v>
      </c>
      <c r="D74" s="8">
        <v>0.79400000000000004</v>
      </c>
      <c r="E74" s="8">
        <v>0.79800000000000004</v>
      </c>
      <c r="F74" s="8">
        <v>0.80700000000000005</v>
      </c>
      <c r="G74" s="8">
        <v>0.81100000000000005</v>
      </c>
      <c r="H74" s="8">
        <v>0.81499999999999995</v>
      </c>
      <c r="I74" s="8">
        <v>0.82</v>
      </c>
      <c r="J74" s="8">
        <v>0.82499999999999996</v>
      </c>
      <c r="K74" s="8">
        <v>0.82699999999999996</v>
      </c>
      <c r="L74" s="8">
        <v>0.82499999999999996</v>
      </c>
      <c r="M74" s="8">
        <v>0.82799999999999996</v>
      </c>
      <c r="N74" s="8">
        <v>0.83499999999999996</v>
      </c>
      <c r="O74" s="8">
        <v>0.84099999999999997</v>
      </c>
      <c r="P74" s="8">
        <v>0.84699999999999998</v>
      </c>
      <c r="Q74" s="8">
        <v>0.85299999999999998</v>
      </c>
      <c r="R74" s="8">
        <v>0.86</v>
      </c>
      <c r="S74" s="8">
        <v>0.86599999999999999</v>
      </c>
      <c r="T74" s="8">
        <v>0.89800000000000002</v>
      </c>
      <c r="U74" s="8">
        <v>0.91700000000000004</v>
      </c>
      <c r="V74" s="8">
        <v>0.93300000000000005</v>
      </c>
      <c r="W74" s="8">
        <v>0.93</v>
      </c>
      <c r="X74" s="8">
        <v>0.93100000000000005</v>
      </c>
      <c r="Y74" s="9">
        <v>0.93700000000000006</v>
      </c>
      <c r="Z74" t="s">
        <v>376</v>
      </c>
      <c r="AA74" t="s">
        <v>505</v>
      </c>
      <c r="AB74">
        <v>120</v>
      </c>
      <c r="AC74">
        <f>LN(_xlfn.XLOOKUP(Sheet2!A74,DataSheet!$G$2:$G$267,DataSheet!$H$2:$H$267))</f>
        <v>10.834859172014049</v>
      </c>
    </row>
    <row r="75" spans="1:29" x14ac:dyDescent="0.2">
      <c r="A75" s="6" t="s">
        <v>203</v>
      </c>
      <c r="B75" s="7" t="s">
        <v>204</v>
      </c>
      <c r="C75" s="8">
        <v>0.58299999999999996</v>
      </c>
      <c r="D75" s="8">
        <v>0.58799999999999997</v>
      </c>
      <c r="E75" s="8">
        <v>0.58799999999999997</v>
      </c>
      <c r="F75" s="8">
        <v>0.56599999999999995</v>
      </c>
      <c r="G75" s="8">
        <v>0.58799999999999997</v>
      </c>
      <c r="H75" s="8">
        <v>0.59099999999999997</v>
      </c>
      <c r="I75" s="8">
        <v>0.59099999999999997</v>
      </c>
      <c r="J75" s="8">
        <v>0.59599999999999997</v>
      </c>
      <c r="K75" s="8">
        <v>0.61199999999999999</v>
      </c>
      <c r="L75" s="8">
        <v>0.622</v>
      </c>
      <c r="M75" s="8">
        <v>0.629</v>
      </c>
      <c r="N75" s="8">
        <v>0.63700000000000001</v>
      </c>
      <c r="O75" s="8">
        <v>0.64400000000000002</v>
      </c>
      <c r="P75" s="8">
        <v>0.64800000000000002</v>
      </c>
      <c r="Q75" s="8">
        <v>0.65100000000000002</v>
      </c>
      <c r="R75" s="8">
        <v>0.65600000000000003</v>
      </c>
      <c r="S75" s="8">
        <v>0.66100000000000003</v>
      </c>
      <c r="T75" s="8">
        <v>0.66700000000000004</v>
      </c>
      <c r="U75" s="8">
        <v>0.67300000000000004</v>
      </c>
      <c r="V75" s="8">
        <v>0.67800000000000005</v>
      </c>
      <c r="W75" s="8">
        <v>0.66100000000000003</v>
      </c>
      <c r="X75" s="8">
        <v>0.66700000000000004</v>
      </c>
      <c r="Y75" s="9">
        <v>0.67300000000000004</v>
      </c>
      <c r="Z75" t="s">
        <v>376</v>
      </c>
      <c r="AA75" t="s">
        <v>505</v>
      </c>
      <c r="AB75">
        <v>124</v>
      </c>
      <c r="AC75">
        <f>LN(_xlfn.XLOOKUP(Sheet2!A75,DataSheet!$G$2:$G$267,DataSheet!$H$2:$H$267))</f>
        <v>8.7827418495468912</v>
      </c>
    </row>
    <row r="76" spans="1:29" x14ac:dyDescent="0.2">
      <c r="A76" s="2" t="s">
        <v>177</v>
      </c>
      <c r="B76" s="3" t="s">
        <v>178</v>
      </c>
      <c r="C76" s="4">
        <v>0.43099999999999999</v>
      </c>
      <c r="D76" s="4">
        <v>0.44700000000000001</v>
      </c>
      <c r="E76" s="4">
        <v>0.46899999999999997</v>
      </c>
      <c r="F76" s="4">
        <v>0.48399999999999999</v>
      </c>
      <c r="G76" s="4">
        <v>0.499</v>
      </c>
      <c r="H76" s="4">
        <v>0.51</v>
      </c>
      <c r="I76" s="4">
        <v>0.52200000000000002</v>
      </c>
      <c r="J76" s="4">
        <v>0.53100000000000003</v>
      </c>
      <c r="K76" s="4">
        <v>0.53600000000000003</v>
      </c>
      <c r="L76" s="4">
        <v>0.53800000000000003</v>
      </c>
      <c r="M76" s="4">
        <v>0.54200000000000004</v>
      </c>
      <c r="N76" s="4">
        <v>0.54600000000000004</v>
      </c>
      <c r="O76" s="4">
        <v>0.55100000000000005</v>
      </c>
      <c r="P76" s="4">
        <v>0.55400000000000005</v>
      </c>
      <c r="Q76" s="4">
        <v>0.55900000000000005</v>
      </c>
      <c r="R76" s="4">
        <v>0.56399999999999995</v>
      </c>
      <c r="S76" s="4">
        <v>0.57299999999999995</v>
      </c>
      <c r="T76" s="4">
        <v>0.58099999999999996</v>
      </c>
      <c r="U76" s="4">
        <v>0.58799999999999997</v>
      </c>
      <c r="V76" s="4">
        <v>0.59599999999999997</v>
      </c>
      <c r="W76" s="4">
        <v>0.59599999999999997</v>
      </c>
      <c r="X76" s="4">
        <v>0.59599999999999997</v>
      </c>
      <c r="Y76" s="5">
        <v>0.6</v>
      </c>
      <c r="Z76" t="s">
        <v>376</v>
      </c>
      <c r="AA76" t="s">
        <v>505</v>
      </c>
      <c r="AB76">
        <v>127</v>
      </c>
      <c r="AC76">
        <f>LN(_xlfn.XLOOKUP(Sheet2!A76,DataSheet!$G$2:$G$267,DataSheet!$H$2:$H$267))</f>
        <v>7.7514884362149825</v>
      </c>
    </row>
    <row r="77" spans="1:29" x14ac:dyDescent="0.2">
      <c r="A77" s="2" t="s">
        <v>365</v>
      </c>
      <c r="B77" s="3" t="s">
        <v>366</v>
      </c>
      <c r="C77" s="4">
        <v>0.66900000000000004</v>
      </c>
      <c r="D77" s="4">
        <v>0.67500000000000004</v>
      </c>
      <c r="E77" s="4">
        <v>0.68500000000000005</v>
      </c>
      <c r="F77" s="4">
        <v>0.69099999999999995</v>
      </c>
      <c r="G77" s="4">
        <v>0.69599999999999995</v>
      </c>
      <c r="H77" s="4">
        <v>0.70099999999999996</v>
      </c>
      <c r="I77" s="4">
        <v>0.71099999999999997</v>
      </c>
      <c r="J77" s="4">
        <v>0.71799999999999997</v>
      </c>
      <c r="K77" s="4">
        <v>0.72099999999999997</v>
      </c>
      <c r="L77" s="4">
        <v>0.72799999999999998</v>
      </c>
      <c r="M77" s="4">
        <v>0.75</v>
      </c>
      <c r="N77" s="4">
        <v>0.76300000000000001</v>
      </c>
      <c r="O77" s="4">
        <v>0.77200000000000002</v>
      </c>
      <c r="P77" s="4">
        <v>0.80200000000000005</v>
      </c>
      <c r="Q77" s="4">
        <v>0.81200000000000006</v>
      </c>
      <c r="R77" s="4">
        <v>0.82099999999999995</v>
      </c>
      <c r="S77" s="4">
        <v>0.82599999999999996</v>
      </c>
      <c r="T77" s="4">
        <v>0.83299999999999996</v>
      </c>
      <c r="U77" s="4">
        <v>0.83799999999999997</v>
      </c>
      <c r="V77" s="4">
        <v>0.84199999999999997</v>
      </c>
      <c r="W77" s="4">
        <v>0.83499999999999996</v>
      </c>
      <c r="X77" s="4">
        <v>0.84099999999999997</v>
      </c>
      <c r="Y77" s="5">
        <v>0.85499999999999998</v>
      </c>
      <c r="Z77" t="s">
        <v>376</v>
      </c>
      <c r="AA77" t="s">
        <v>505</v>
      </c>
      <c r="AB77">
        <v>132</v>
      </c>
      <c r="AC77">
        <f>LN(_xlfn.XLOOKUP(Sheet2!A77,DataSheet!$G$2:$G$267,DataSheet!$H$2:$H$267))</f>
        <v>9.2963198650900551</v>
      </c>
    </row>
    <row r="78" spans="1:29" x14ac:dyDescent="0.2">
      <c r="A78" s="2" t="s">
        <v>349</v>
      </c>
      <c r="B78" s="3" t="s">
        <v>350</v>
      </c>
      <c r="C78" s="4">
        <v>0.86299999999999999</v>
      </c>
      <c r="D78" s="4">
        <v>0.86699999999999999</v>
      </c>
      <c r="E78" s="4">
        <v>0.872</v>
      </c>
      <c r="F78" s="4">
        <v>0.878</v>
      </c>
      <c r="G78" s="4">
        <v>0.88600000000000001</v>
      </c>
      <c r="H78" s="4">
        <v>0.89600000000000002</v>
      </c>
      <c r="I78" s="4">
        <v>0.90100000000000002</v>
      </c>
      <c r="J78" s="4">
        <v>0.90600000000000003</v>
      </c>
      <c r="K78" s="4">
        <v>0.91</v>
      </c>
      <c r="L78" s="4">
        <v>0.91</v>
      </c>
      <c r="M78" s="4">
        <v>0.92100000000000004</v>
      </c>
      <c r="N78" s="4">
        <v>0.92400000000000004</v>
      </c>
      <c r="O78" s="4">
        <v>0.92600000000000005</v>
      </c>
      <c r="P78" s="4">
        <v>0.93</v>
      </c>
      <c r="Q78" s="4">
        <v>0.93200000000000005</v>
      </c>
      <c r="R78" s="4">
        <v>0.93500000000000005</v>
      </c>
      <c r="S78" s="4">
        <v>0.93700000000000006</v>
      </c>
      <c r="T78" s="4">
        <v>0.93799999999999994</v>
      </c>
      <c r="U78" s="4">
        <v>0.94199999999999995</v>
      </c>
      <c r="V78" s="4">
        <v>0.94499999999999995</v>
      </c>
      <c r="W78" s="4">
        <v>0.94199999999999995</v>
      </c>
      <c r="X78" s="4">
        <v>0.94199999999999995</v>
      </c>
      <c r="Y78" s="5">
        <v>0.94899999999999995</v>
      </c>
      <c r="Z78" t="s">
        <v>376</v>
      </c>
      <c r="AA78" t="s">
        <v>504</v>
      </c>
      <c r="AB78">
        <v>138</v>
      </c>
      <c r="AC78">
        <f>LN(_xlfn.XLOOKUP(Sheet2!A78,DataSheet!$G$2:$G$267,DataSheet!$H$2:$H$267))</f>
        <v>11.410882434811564</v>
      </c>
    </row>
    <row r="79" spans="1:29" x14ac:dyDescent="0.2">
      <c r="A79" s="6" t="s">
        <v>335</v>
      </c>
      <c r="B79" s="7" t="s">
        <v>336</v>
      </c>
      <c r="C79" s="8">
        <v>0.79300000000000004</v>
      </c>
      <c r="D79" s="8">
        <v>0.79400000000000004</v>
      </c>
      <c r="E79" s="8">
        <v>0.79600000000000004</v>
      </c>
      <c r="F79" s="8">
        <v>0.80100000000000005</v>
      </c>
      <c r="G79" s="8">
        <v>0.80400000000000005</v>
      </c>
      <c r="H79" s="8">
        <v>0.81100000000000005</v>
      </c>
      <c r="I79" s="8">
        <v>0.81799999999999995</v>
      </c>
      <c r="J79" s="8">
        <v>0.82699999999999996</v>
      </c>
      <c r="K79" s="8">
        <v>0.83499999999999996</v>
      </c>
      <c r="L79" s="8">
        <v>0.83299999999999996</v>
      </c>
      <c r="M79" s="8">
        <v>0.82899999999999996</v>
      </c>
      <c r="N79" s="8">
        <v>0.83</v>
      </c>
      <c r="O79" s="8">
        <v>0.84</v>
      </c>
      <c r="P79" s="8">
        <v>0.85199999999999998</v>
      </c>
      <c r="Q79" s="8">
        <v>0.85</v>
      </c>
      <c r="R79" s="8">
        <v>0.85199999999999998</v>
      </c>
      <c r="S79" s="8">
        <v>0.85299999999999998</v>
      </c>
      <c r="T79" s="8">
        <v>0.86199999999999999</v>
      </c>
      <c r="U79" s="8">
        <v>0.86599999999999999</v>
      </c>
      <c r="V79" s="8">
        <v>0.86899999999999999</v>
      </c>
      <c r="W79" s="8">
        <v>0.86299999999999999</v>
      </c>
      <c r="X79" s="8">
        <v>0.86399999999999999</v>
      </c>
      <c r="Y79" s="9">
        <v>0.875</v>
      </c>
      <c r="Z79" t="s">
        <v>376</v>
      </c>
      <c r="AA79" t="s">
        <v>505</v>
      </c>
      <c r="AB79">
        <v>144</v>
      </c>
      <c r="AC79">
        <f>LN(_xlfn.XLOOKUP(Sheet2!A79,DataSheet!$G$2:$G$267,DataSheet!$H$2:$H$267))</f>
        <v>11.393031729603598</v>
      </c>
    </row>
    <row r="80" spans="1:29" x14ac:dyDescent="0.2">
      <c r="A80" s="2" t="s">
        <v>361</v>
      </c>
      <c r="B80" s="3" t="s">
        <v>362</v>
      </c>
      <c r="C80" s="4">
        <v>0.66300000000000003</v>
      </c>
      <c r="D80" s="4">
        <v>0.67700000000000005</v>
      </c>
      <c r="E80" s="4">
        <v>0.68799999999999994</v>
      </c>
      <c r="F80" s="4">
        <v>0.69799999999999995</v>
      </c>
      <c r="G80" s="4">
        <v>0.70699999999999996</v>
      </c>
      <c r="H80" s="4">
        <v>0.71499999999999997</v>
      </c>
      <c r="I80" s="4">
        <v>0.72099999999999997</v>
      </c>
      <c r="J80" s="4">
        <v>0.73199999999999998</v>
      </c>
      <c r="K80" s="4">
        <v>0.73499999999999999</v>
      </c>
      <c r="L80" s="4">
        <v>0.73799999999999999</v>
      </c>
      <c r="M80" s="4">
        <v>0.74299999999999999</v>
      </c>
      <c r="N80" s="4">
        <v>0.749</v>
      </c>
      <c r="O80" s="4">
        <v>0.752</v>
      </c>
      <c r="P80" s="4">
        <v>0.754</v>
      </c>
      <c r="Q80" s="4">
        <v>0.78500000000000003</v>
      </c>
      <c r="R80" s="4">
        <v>0.78900000000000003</v>
      </c>
      <c r="S80" s="4">
        <v>0.79300000000000004</v>
      </c>
      <c r="T80" s="4">
        <v>0.79500000000000004</v>
      </c>
      <c r="U80" s="4">
        <v>0.79600000000000004</v>
      </c>
      <c r="V80" s="4">
        <v>0.80100000000000005</v>
      </c>
      <c r="W80" s="4">
        <v>0.8</v>
      </c>
      <c r="X80" s="4">
        <v>0.79700000000000004</v>
      </c>
      <c r="Y80" s="5">
        <v>0.80300000000000005</v>
      </c>
      <c r="Z80" t="s">
        <v>376</v>
      </c>
      <c r="AA80" t="s">
        <v>505</v>
      </c>
      <c r="AB80">
        <v>146</v>
      </c>
      <c r="AC80">
        <f>LN(_xlfn.XLOOKUP(Sheet2!A80,DataSheet!$G$2:$G$267,DataSheet!$H$2:$H$267))</f>
        <v>8.8406312539094962</v>
      </c>
    </row>
    <row r="81" spans="1:29" x14ac:dyDescent="0.2">
      <c r="A81" s="6" t="s">
        <v>247</v>
      </c>
      <c r="B81" s="7" t="s">
        <v>248</v>
      </c>
      <c r="C81" s="8">
        <v>0.89600000000000002</v>
      </c>
      <c r="D81" s="8">
        <v>0.9</v>
      </c>
      <c r="E81" s="8">
        <v>0.90200000000000002</v>
      </c>
      <c r="F81" s="8">
        <v>0.90600000000000003</v>
      </c>
      <c r="G81" s="8">
        <v>0.90800000000000003</v>
      </c>
      <c r="H81" s="8">
        <v>0.91100000000000003</v>
      </c>
      <c r="I81" s="8">
        <v>0.91400000000000003</v>
      </c>
      <c r="J81" s="8">
        <v>0.91600000000000004</v>
      </c>
      <c r="K81" s="8">
        <v>0.92</v>
      </c>
      <c r="L81" s="8">
        <v>0.92200000000000004</v>
      </c>
      <c r="M81" s="8">
        <v>0.92400000000000004</v>
      </c>
      <c r="N81" s="8">
        <v>0.92700000000000005</v>
      </c>
      <c r="O81" s="8">
        <v>0.93100000000000005</v>
      </c>
      <c r="P81" s="8">
        <v>0.92900000000000005</v>
      </c>
      <c r="Q81" s="8">
        <v>0.93100000000000005</v>
      </c>
      <c r="R81" s="8">
        <v>0.93300000000000005</v>
      </c>
      <c r="S81" s="8">
        <v>0.93600000000000005</v>
      </c>
      <c r="T81" s="8">
        <v>0.93700000000000006</v>
      </c>
      <c r="U81" s="8">
        <v>0.94099999999999995</v>
      </c>
      <c r="V81" s="8">
        <v>0.94099999999999995</v>
      </c>
      <c r="W81" s="8">
        <v>0.94799999999999995</v>
      </c>
      <c r="X81" s="8">
        <v>0.94899999999999995</v>
      </c>
      <c r="Y81" s="9">
        <v>0.94599999999999995</v>
      </c>
      <c r="Z81" t="s">
        <v>248</v>
      </c>
      <c r="AA81" t="s">
        <v>504</v>
      </c>
      <c r="AB81">
        <v>36</v>
      </c>
      <c r="AC81">
        <f>LN(_xlfn.XLOOKUP(Sheet2!A81,DataSheet!$G$2:$G$267,DataSheet!$H$2:$H$267))</f>
        <v>11.084747140137008</v>
      </c>
    </row>
    <row r="82" spans="1:29" x14ac:dyDescent="0.2">
      <c r="A82" s="6" t="s">
        <v>355</v>
      </c>
      <c r="B82" s="7" t="s">
        <v>356</v>
      </c>
      <c r="C82" s="8">
        <v>0.82799999999999996</v>
      </c>
      <c r="D82" s="8">
        <v>0.83299999999999996</v>
      </c>
      <c r="E82" s="8">
        <v>0.83799999999999997</v>
      </c>
      <c r="F82" s="8">
        <v>0.84</v>
      </c>
      <c r="G82" s="8">
        <v>0.84599999999999997</v>
      </c>
      <c r="H82" s="8">
        <v>0.85099999999999998</v>
      </c>
      <c r="I82" s="8">
        <v>0.85599999999999998</v>
      </c>
      <c r="J82" s="8">
        <v>0.85699999999999998</v>
      </c>
      <c r="K82" s="8">
        <v>0.85799999999999998</v>
      </c>
      <c r="L82" s="8">
        <v>0.86</v>
      </c>
      <c r="M82" s="8">
        <v>0.86799999999999999</v>
      </c>
      <c r="N82" s="8">
        <v>0.873</v>
      </c>
      <c r="O82" s="8">
        <v>0.875</v>
      </c>
      <c r="P82" s="8">
        <v>0.88</v>
      </c>
      <c r="Q82" s="8">
        <v>0.88400000000000001</v>
      </c>
      <c r="R82" s="8">
        <v>0.88900000000000001</v>
      </c>
      <c r="S82" s="8">
        <v>0.89400000000000002</v>
      </c>
      <c r="T82" s="8">
        <v>0.89600000000000002</v>
      </c>
      <c r="U82" s="8">
        <v>0.89900000000000002</v>
      </c>
      <c r="V82" s="8">
        <v>0.90400000000000003</v>
      </c>
      <c r="W82" s="8">
        <v>0.89400000000000002</v>
      </c>
      <c r="X82" s="8">
        <v>0.90400000000000003</v>
      </c>
      <c r="Y82" s="9">
        <v>0.91100000000000003</v>
      </c>
      <c r="Z82" t="s">
        <v>379</v>
      </c>
      <c r="AA82" t="s">
        <v>504</v>
      </c>
      <c r="AB82">
        <v>11</v>
      </c>
      <c r="AC82">
        <f>LN(_xlfn.XLOOKUP(Sheet2!A82,DataSheet!$G$2:$G$267,DataSheet!$H$2:$H$267))</f>
        <v>10.319546305978465</v>
      </c>
    </row>
    <row r="83" spans="1:29" x14ac:dyDescent="0.2">
      <c r="A83" s="2" t="s">
        <v>313</v>
      </c>
      <c r="B83" s="3" t="s">
        <v>314</v>
      </c>
      <c r="C83" s="4">
        <v>0.76900000000000002</v>
      </c>
      <c r="D83" s="4">
        <v>0.77900000000000003</v>
      </c>
      <c r="E83" s="4">
        <v>0.79100000000000004</v>
      </c>
      <c r="F83" s="4">
        <v>0.80500000000000005</v>
      </c>
      <c r="G83" s="4">
        <v>0.81299999999999994</v>
      </c>
      <c r="H83" s="4">
        <v>0.82099999999999995</v>
      </c>
      <c r="I83" s="4">
        <v>0.82799999999999996</v>
      </c>
      <c r="J83" s="4">
        <v>0.83499999999999996</v>
      </c>
      <c r="K83" s="4">
        <v>0.84299999999999997</v>
      </c>
      <c r="L83" s="4">
        <v>0.84299999999999997</v>
      </c>
      <c r="M83" s="4">
        <v>0.84599999999999997</v>
      </c>
      <c r="N83" s="4">
        <v>0.85299999999999998</v>
      </c>
      <c r="O83" s="4">
        <v>0.85499999999999998</v>
      </c>
      <c r="P83" s="4">
        <v>0.85799999999999998</v>
      </c>
      <c r="Q83" s="4">
        <v>0.86399999999999999</v>
      </c>
      <c r="R83" s="4">
        <v>0.86499999999999999</v>
      </c>
      <c r="S83" s="4">
        <v>0.87</v>
      </c>
      <c r="T83" s="4">
        <v>0.878</v>
      </c>
      <c r="U83" s="4">
        <v>0.88200000000000001</v>
      </c>
      <c r="V83" s="4">
        <v>0.88600000000000001</v>
      </c>
      <c r="W83" s="4">
        <v>0.88</v>
      </c>
      <c r="X83" s="4">
        <v>0.875</v>
      </c>
      <c r="Y83" s="5">
        <v>0.879</v>
      </c>
      <c r="Z83" t="s">
        <v>379</v>
      </c>
      <c r="AA83" t="s">
        <v>504</v>
      </c>
      <c r="AB83">
        <v>15</v>
      </c>
      <c r="AC83">
        <f>LN(_xlfn.XLOOKUP(Sheet2!A83,DataSheet!$G$2:$G$267,DataSheet!$H$2:$H$267))</f>
        <v>10.130056594153579</v>
      </c>
    </row>
    <row r="84" spans="1:29" x14ac:dyDescent="0.2">
      <c r="A84" s="6" t="s">
        <v>299</v>
      </c>
      <c r="B84" s="7" t="s">
        <v>300</v>
      </c>
      <c r="C84" s="8">
        <v>0.84199999999999997</v>
      </c>
      <c r="D84" s="8">
        <v>0.84899999999999998</v>
      </c>
      <c r="E84" s="8">
        <v>0.85399999999999998</v>
      </c>
      <c r="F84" s="8">
        <v>0.85799999999999998</v>
      </c>
      <c r="G84" s="8">
        <v>0.86599999999999999</v>
      </c>
      <c r="H84" s="8">
        <v>0.86899999999999999</v>
      </c>
      <c r="I84" s="8">
        <v>0.874</v>
      </c>
      <c r="J84" s="8">
        <v>0.878</v>
      </c>
      <c r="K84" s="8">
        <v>0.878</v>
      </c>
      <c r="L84" s="8">
        <v>0.877</v>
      </c>
      <c r="M84" s="8">
        <v>0.88</v>
      </c>
      <c r="N84" s="8">
        <v>0.88300000000000001</v>
      </c>
      <c r="O84" s="8">
        <v>0.88100000000000001</v>
      </c>
      <c r="P84" s="8">
        <v>0.88</v>
      </c>
      <c r="Q84" s="8">
        <v>0.88200000000000001</v>
      </c>
      <c r="R84" s="8">
        <v>0.88100000000000001</v>
      </c>
      <c r="S84" s="8">
        <v>0.88600000000000001</v>
      </c>
      <c r="T84" s="8">
        <v>0.88900000000000001</v>
      </c>
      <c r="U84" s="8">
        <v>0.89400000000000002</v>
      </c>
      <c r="V84" s="8">
        <v>0.89900000000000002</v>
      </c>
      <c r="W84" s="8">
        <v>0.89200000000000002</v>
      </c>
      <c r="X84" s="8">
        <v>0.89900000000000002</v>
      </c>
      <c r="Y84" s="9">
        <v>0.90600000000000003</v>
      </c>
      <c r="Z84" t="s">
        <v>379</v>
      </c>
      <c r="AA84" t="s">
        <v>504</v>
      </c>
      <c r="AB84">
        <v>16</v>
      </c>
      <c r="AC84">
        <f>LN(_xlfn.XLOOKUP(Sheet2!A84,DataSheet!$G$2:$G$267,DataSheet!$H$2:$H$267))</f>
        <v>10.48161393457265</v>
      </c>
    </row>
    <row r="85" spans="1:29" x14ac:dyDescent="0.2">
      <c r="A85" s="2" t="s">
        <v>293</v>
      </c>
      <c r="B85" s="3" t="s">
        <v>294</v>
      </c>
      <c r="C85" s="4">
        <v>0.89500000000000002</v>
      </c>
      <c r="D85" s="4">
        <v>0.90200000000000002</v>
      </c>
      <c r="E85" s="4">
        <v>0.90900000000000003</v>
      </c>
      <c r="F85" s="4">
        <v>0.91600000000000004</v>
      </c>
      <c r="G85" s="4">
        <v>0.92</v>
      </c>
      <c r="H85" s="4">
        <v>0.92600000000000005</v>
      </c>
      <c r="I85" s="4">
        <v>0.92800000000000005</v>
      </c>
      <c r="J85" s="4">
        <v>0.93300000000000005</v>
      </c>
      <c r="K85" s="4">
        <v>0.92700000000000005</v>
      </c>
      <c r="L85" s="4">
        <v>0.92500000000000004</v>
      </c>
      <c r="M85" s="4">
        <v>0.92700000000000005</v>
      </c>
      <c r="N85" s="4">
        <v>0.93300000000000005</v>
      </c>
      <c r="O85" s="4">
        <v>0.93799999999999994</v>
      </c>
      <c r="P85" s="4">
        <v>0.94199999999999995</v>
      </c>
      <c r="Q85" s="4">
        <v>0.94599999999999995</v>
      </c>
      <c r="R85" s="4">
        <v>0.94799999999999995</v>
      </c>
      <c r="S85" s="4">
        <v>0.95099999999999996</v>
      </c>
      <c r="T85" s="4">
        <v>0.95499999999999996</v>
      </c>
      <c r="U85" s="4">
        <v>0.95799999999999996</v>
      </c>
      <c r="V85" s="4">
        <v>0.95799999999999996</v>
      </c>
      <c r="W85" s="4">
        <v>0.95499999999999996</v>
      </c>
      <c r="X85" s="4">
        <v>0.95699999999999996</v>
      </c>
      <c r="Y85" s="5">
        <v>0.95899999999999996</v>
      </c>
      <c r="Z85" t="s">
        <v>379</v>
      </c>
      <c r="AA85" t="s">
        <v>504</v>
      </c>
      <c r="AB85">
        <v>20</v>
      </c>
      <c r="AC85">
        <f>LN(_xlfn.XLOOKUP(Sheet2!A85,DataSheet!$G$2:$G$267,DataSheet!$H$2:$H$267))</f>
        <v>11.243089270026532</v>
      </c>
    </row>
    <row r="86" spans="1:29" x14ac:dyDescent="0.2">
      <c r="A86" s="2" t="s">
        <v>321</v>
      </c>
      <c r="B86" s="3" t="s">
        <v>322</v>
      </c>
      <c r="C86" s="4">
        <v>0.89200000000000002</v>
      </c>
      <c r="D86" s="4">
        <v>0.89300000000000002</v>
      </c>
      <c r="E86" s="4">
        <v>0.89</v>
      </c>
      <c r="F86" s="4">
        <v>0.89300000000000002</v>
      </c>
      <c r="G86" s="4">
        <v>0.89600000000000002</v>
      </c>
      <c r="H86" s="4">
        <v>0.89900000000000002</v>
      </c>
      <c r="I86" s="4">
        <v>0.90500000000000003</v>
      </c>
      <c r="J86" s="4">
        <v>0.91100000000000003</v>
      </c>
      <c r="K86" s="4">
        <v>0.91100000000000003</v>
      </c>
      <c r="L86" s="4">
        <v>0.91200000000000003</v>
      </c>
      <c r="M86" s="4">
        <v>0.91700000000000004</v>
      </c>
      <c r="N86" s="4">
        <v>0.92700000000000005</v>
      </c>
      <c r="O86" s="4">
        <v>0.92700000000000005</v>
      </c>
      <c r="P86" s="4">
        <v>0.92900000000000005</v>
      </c>
      <c r="Q86" s="4">
        <v>0.93100000000000005</v>
      </c>
      <c r="R86" s="4">
        <v>0.93200000000000005</v>
      </c>
      <c r="S86" s="4">
        <v>0.93300000000000005</v>
      </c>
      <c r="T86" s="4">
        <v>0.93600000000000005</v>
      </c>
      <c r="U86" s="4">
        <v>0.93899999999999995</v>
      </c>
      <c r="V86" s="4">
        <v>0.94099999999999995</v>
      </c>
      <c r="W86" s="4">
        <v>0.93799999999999994</v>
      </c>
      <c r="X86" s="4">
        <v>0.94099999999999995</v>
      </c>
      <c r="Y86" s="5">
        <v>0.94599999999999995</v>
      </c>
      <c r="Z86" t="s">
        <v>379</v>
      </c>
      <c r="AA86" t="s">
        <v>505</v>
      </c>
      <c r="AB86">
        <v>35</v>
      </c>
      <c r="AC86">
        <f>LN(_xlfn.XLOOKUP(Sheet2!A86,DataSheet!$G$2:$G$267,DataSheet!$H$2:$H$267))</f>
        <v>10.987380687334896</v>
      </c>
    </row>
    <row r="87" spans="1:29" x14ac:dyDescent="0.2">
      <c r="A87" s="6" t="s">
        <v>279</v>
      </c>
      <c r="B87" s="7" t="s">
        <v>280</v>
      </c>
      <c r="C87" s="8">
        <v>0.84399999999999997</v>
      </c>
      <c r="D87" s="8">
        <v>0.84699999999999998</v>
      </c>
      <c r="E87" s="8">
        <v>0.85</v>
      </c>
      <c r="F87" s="8">
        <v>0.85299999999999998</v>
      </c>
      <c r="G87" s="8">
        <v>0.86099999999999999</v>
      </c>
      <c r="H87" s="8">
        <v>0.86899999999999999</v>
      </c>
      <c r="I87" s="8">
        <v>0.873</v>
      </c>
      <c r="J87" s="8">
        <v>0.876</v>
      </c>
      <c r="K87" s="8">
        <v>0.877</v>
      </c>
      <c r="L87" s="8">
        <v>0.875</v>
      </c>
      <c r="M87" s="8">
        <v>0.88</v>
      </c>
      <c r="N87" s="8">
        <v>0.88400000000000001</v>
      </c>
      <c r="O87" s="8">
        <v>0.88500000000000001</v>
      </c>
      <c r="P87" s="8">
        <v>0.88800000000000001</v>
      </c>
      <c r="Q87" s="8">
        <v>0.89200000000000002</v>
      </c>
      <c r="R87" s="8">
        <v>0.89300000000000002</v>
      </c>
      <c r="S87" s="8">
        <v>0.89600000000000002</v>
      </c>
      <c r="T87" s="8">
        <v>0.89900000000000002</v>
      </c>
      <c r="U87" s="8">
        <v>0.90300000000000002</v>
      </c>
      <c r="V87" s="8">
        <v>0.90500000000000003</v>
      </c>
      <c r="W87" s="8">
        <v>0.9</v>
      </c>
      <c r="X87" s="8">
        <v>0.90600000000000003</v>
      </c>
      <c r="Y87" s="9">
        <v>0.91</v>
      </c>
      <c r="Z87" t="s">
        <v>379</v>
      </c>
      <c r="AA87" t="s">
        <v>504</v>
      </c>
      <c r="AB87">
        <v>39</v>
      </c>
      <c r="AC87">
        <f>LN(_xlfn.XLOOKUP(Sheet2!A87,DataSheet!$G$2:$G$267,DataSheet!$H$2:$H$267))</f>
        <v>10.62105022436505</v>
      </c>
    </row>
    <row r="88" spans="1:29" x14ac:dyDescent="0.2">
      <c r="A88" s="2" t="s">
        <v>41</v>
      </c>
      <c r="B88" s="3" t="s">
        <v>42</v>
      </c>
      <c r="C88" s="4">
        <v>0.72299999999999998</v>
      </c>
      <c r="D88" s="4">
        <v>0.73199999999999998</v>
      </c>
      <c r="E88" s="4">
        <v>0.74299999999999999</v>
      </c>
      <c r="F88" s="4">
        <v>0.753</v>
      </c>
      <c r="G88" s="4">
        <v>0.76</v>
      </c>
      <c r="H88" s="4">
        <v>0.76500000000000001</v>
      </c>
      <c r="I88" s="4">
        <v>0.77</v>
      </c>
      <c r="J88" s="4">
        <v>0.77600000000000002</v>
      </c>
      <c r="K88" s="4">
        <v>0.78200000000000003</v>
      </c>
      <c r="L88" s="4">
        <v>0.78400000000000003</v>
      </c>
      <c r="M88" s="4">
        <v>0.79</v>
      </c>
      <c r="N88" s="4">
        <v>0.79400000000000004</v>
      </c>
      <c r="O88" s="4">
        <v>0.79800000000000004</v>
      </c>
      <c r="P88" s="4">
        <v>0.80400000000000005</v>
      </c>
      <c r="Q88" s="4">
        <v>0.80700000000000005</v>
      </c>
      <c r="R88" s="4">
        <v>0.80900000000000005</v>
      </c>
      <c r="S88" s="4">
        <v>0.81</v>
      </c>
      <c r="T88" s="4">
        <v>0.81</v>
      </c>
      <c r="U88" s="4">
        <v>0.81100000000000005</v>
      </c>
      <c r="V88" s="4">
        <v>0.81299999999999994</v>
      </c>
      <c r="W88" s="4">
        <v>0.80200000000000005</v>
      </c>
      <c r="X88" s="4">
        <v>0.79600000000000004</v>
      </c>
      <c r="Y88" s="5">
        <v>0.79900000000000004</v>
      </c>
      <c r="Z88" t="s">
        <v>379</v>
      </c>
      <c r="AA88" t="s">
        <v>505</v>
      </c>
      <c r="AB88">
        <v>41</v>
      </c>
      <c r="AC88">
        <f>LN(_xlfn.XLOOKUP(Sheet2!A88,DataSheet!$G$2:$G$267,DataSheet!$H$2:$H$267))</f>
        <v>9.5467551069442074</v>
      </c>
    </row>
    <row r="89" spans="1:29" x14ac:dyDescent="0.2">
      <c r="A89" s="6" t="s">
        <v>331</v>
      </c>
      <c r="B89" s="7" t="s">
        <v>332</v>
      </c>
      <c r="C89" s="8">
        <v>0.79400000000000004</v>
      </c>
      <c r="D89" s="8">
        <v>0.80200000000000005</v>
      </c>
      <c r="E89" s="8">
        <v>0.80900000000000005</v>
      </c>
      <c r="F89" s="8">
        <v>0.81399999999999995</v>
      </c>
      <c r="G89" s="8">
        <v>0.81200000000000006</v>
      </c>
      <c r="H89" s="8">
        <v>0.81899999999999995</v>
      </c>
      <c r="I89" s="8">
        <v>0.82399999999999995</v>
      </c>
      <c r="J89" s="8">
        <v>0.82799999999999996</v>
      </c>
      <c r="K89" s="8">
        <v>0.83399999999999996</v>
      </c>
      <c r="L89" s="8">
        <v>0.83799999999999997</v>
      </c>
      <c r="M89" s="8">
        <v>0.84499999999999997</v>
      </c>
      <c r="N89" s="8">
        <v>0.85099999999999998</v>
      </c>
      <c r="O89" s="8">
        <v>0.85499999999999998</v>
      </c>
      <c r="P89" s="8">
        <v>0.86499999999999999</v>
      </c>
      <c r="Q89" s="8">
        <v>0.86699999999999999</v>
      </c>
      <c r="R89" s="8">
        <v>0.86899999999999999</v>
      </c>
      <c r="S89" s="8">
        <v>0.872</v>
      </c>
      <c r="T89" s="8">
        <v>0.874</v>
      </c>
      <c r="U89" s="8">
        <v>0.876</v>
      </c>
      <c r="V89" s="8">
        <v>0.88</v>
      </c>
      <c r="W89" s="8">
        <v>0.874</v>
      </c>
      <c r="X89" s="8">
        <v>0.876</v>
      </c>
      <c r="Y89" s="9">
        <v>0.88100000000000001</v>
      </c>
      <c r="Z89" t="s">
        <v>379</v>
      </c>
      <c r="AA89" t="s">
        <v>505</v>
      </c>
      <c r="AB89">
        <v>43</v>
      </c>
      <c r="AC89">
        <f>LN(_xlfn.XLOOKUP(Sheet2!A89,DataSheet!$G$2:$G$267,DataSheet!$H$2:$H$267))</f>
        <v>9.8464521246625072</v>
      </c>
    </row>
    <row r="90" spans="1:29" x14ac:dyDescent="0.2">
      <c r="A90" s="2" t="s">
        <v>325</v>
      </c>
      <c r="B90" s="3" t="s">
        <v>326</v>
      </c>
      <c r="C90" s="4">
        <v>0.91400000000000003</v>
      </c>
      <c r="D90" s="4">
        <v>0.91300000000000003</v>
      </c>
      <c r="E90" s="4">
        <v>0.91500000000000004</v>
      </c>
      <c r="F90" s="4">
        <v>0.92300000000000004</v>
      </c>
      <c r="G90" s="4">
        <v>0.92900000000000005</v>
      </c>
      <c r="H90" s="4">
        <v>0.93</v>
      </c>
      <c r="I90" s="4">
        <v>0.93400000000000005</v>
      </c>
      <c r="J90" s="4">
        <v>0.93600000000000005</v>
      </c>
      <c r="K90" s="4">
        <v>0.93500000000000005</v>
      </c>
      <c r="L90" s="4">
        <v>0.93500000000000005</v>
      </c>
      <c r="M90" s="4">
        <v>0.93799999999999994</v>
      </c>
      <c r="N90" s="4">
        <v>0.94</v>
      </c>
      <c r="O90" s="4">
        <v>0.94099999999999995</v>
      </c>
      <c r="P90" s="4">
        <v>0.94499999999999995</v>
      </c>
      <c r="Q90" s="4">
        <v>0.94899999999999995</v>
      </c>
      <c r="R90" s="4">
        <v>0.95199999999999996</v>
      </c>
      <c r="S90" s="4">
        <v>0.95599999999999996</v>
      </c>
      <c r="T90" s="4">
        <v>0.95899999999999996</v>
      </c>
      <c r="U90" s="4">
        <v>0.96</v>
      </c>
      <c r="V90" s="4">
        <v>0.96099999999999997</v>
      </c>
      <c r="W90" s="4">
        <v>0.96299999999999997</v>
      </c>
      <c r="X90" s="4">
        <v>0.96399999999999997</v>
      </c>
      <c r="Y90" s="5">
        <v>0.96599999999999997</v>
      </c>
      <c r="Z90" t="s">
        <v>379</v>
      </c>
      <c r="AA90" t="s">
        <v>504</v>
      </c>
      <c r="AB90">
        <v>51</v>
      </c>
      <c r="AC90">
        <f>LN(_xlfn.XLOOKUP(Sheet2!A90,DataSheet!$G$2:$G$267,DataSheet!$H$2:$H$267))</f>
        <v>11.601572778918319</v>
      </c>
    </row>
    <row r="91" spans="1:29" x14ac:dyDescent="0.2">
      <c r="A91" s="6" t="s">
        <v>351</v>
      </c>
      <c r="B91" s="7" t="s">
        <v>352</v>
      </c>
      <c r="C91" s="8">
        <v>0.76100000000000001</v>
      </c>
      <c r="D91" s="8">
        <v>0.76800000000000002</v>
      </c>
      <c r="E91" s="8">
        <v>0.77700000000000002</v>
      </c>
      <c r="F91" s="8">
        <v>0.78300000000000003</v>
      </c>
      <c r="G91" s="8">
        <v>0.79300000000000004</v>
      </c>
      <c r="H91" s="8">
        <v>0.80200000000000005</v>
      </c>
      <c r="I91" s="8">
        <v>0.81200000000000006</v>
      </c>
      <c r="J91" s="8">
        <v>0.82199999999999995</v>
      </c>
      <c r="K91" s="8">
        <v>0.83099999999999996</v>
      </c>
      <c r="L91" s="8">
        <v>0.83399999999999996</v>
      </c>
      <c r="M91" s="8">
        <v>0.84099999999999997</v>
      </c>
      <c r="N91" s="8">
        <v>0.84599999999999997</v>
      </c>
      <c r="O91" s="8">
        <v>0.84599999999999997</v>
      </c>
      <c r="P91" s="8">
        <v>0.84899999999999998</v>
      </c>
      <c r="Q91" s="8">
        <v>0.85099999999999998</v>
      </c>
      <c r="R91" s="8">
        <v>0.85199999999999998</v>
      </c>
      <c r="S91" s="8">
        <v>0.85499999999999998</v>
      </c>
      <c r="T91" s="8">
        <v>0.85699999999999998</v>
      </c>
      <c r="U91" s="8">
        <v>0.86</v>
      </c>
      <c r="V91" s="8">
        <v>0.86299999999999999</v>
      </c>
      <c r="W91" s="8">
        <v>0.86</v>
      </c>
      <c r="X91" s="8">
        <v>0.85199999999999998</v>
      </c>
      <c r="Y91" s="9">
        <v>0.85499999999999998</v>
      </c>
      <c r="Z91" t="s">
        <v>379</v>
      </c>
      <c r="AA91" t="s">
        <v>505</v>
      </c>
      <c r="AB91">
        <v>64</v>
      </c>
      <c r="AC91">
        <f>LN(_xlfn.XLOOKUP(Sheet2!A91,DataSheet!$G$2:$G$267,DataSheet!$H$2:$H$267))</f>
        <v>9.9672974207706382</v>
      </c>
    </row>
    <row r="92" spans="1:29" x14ac:dyDescent="0.2">
      <c r="A92" s="6" t="s">
        <v>359</v>
      </c>
      <c r="B92" s="7" t="s">
        <v>360</v>
      </c>
      <c r="C92" s="8">
        <v>0.88500000000000001</v>
      </c>
      <c r="D92" s="8">
        <v>0.88800000000000001</v>
      </c>
      <c r="E92" s="8">
        <v>0.88800000000000001</v>
      </c>
      <c r="F92" s="8">
        <v>0.89300000000000002</v>
      </c>
      <c r="G92" s="8">
        <v>0.89800000000000002</v>
      </c>
      <c r="H92" s="8">
        <v>0.90300000000000002</v>
      </c>
      <c r="I92" s="8">
        <v>0.91300000000000003</v>
      </c>
      <c r="J92" s="8">
        <v>0.92</v>
      </c>
      <c r="K92" s="8">
        <v>0.92600000000000005</v>
      </c>
      <c r="L92" s="8">
        <v>0.93500000000000005</v>
      </c>
      <c r="M92" s="8">
        <v>0.94</v>
      </c>
      <c r="N92" s="8">
        <v>0.94</v>
      </c>
      <c r="O92" s="8">
        <v>0.94299999999999995</v>
      </c>
      <c r="P92" s="8">
        <v>0.94699999999999995</v>
      </c>
      <c r="Q92" s="8">
        <v>0.95099999999999996</v>
      </c>
      <c r="R92" s="8">
        <v>0.95199999999999996</v>
      </c>
      <c r="S92" s="8">
        <v>0.95399999999999996</v>
      </c>
      <c r="T92" s="8">
        <v>0.95499999999999996</v>
      </c>
      <c r="U92" s="8">
        <v>0.95699999999999996</v>
      </c>
      <c r="V92" s="8">
        <v>0.96</v>
      </c>
      <c r="W92" s="8">
        <v>0.95699999999999996</v>
      </c>
      <c r="X92" s="8">
        <v>0.96499999999999997</v>
      </c>
      <c r="Y92" s="9">
        <v>0.96699999999999997</v>
      </c>
      <c r="Z92" t="s">
        <v>379</v>
      </c>
      <c r="AA92" t="s">
        <v>504</v>
      </c>
      <c r="AB92">
        <v>67</v>
      </c>
      <c r="AC92">
        <f>LN(_xlfn.XLOOKUP(Sheet2!A92,DataSheet!$G$2:$G$267,DataSheet!$H$2:$H$267))</f>
        <v>11.455238201078446</v>
      </c>
    </row>
    <row r="93" spans="1:29" x14ac:dyDescent="0.2">
      <c r="A93" s="2" t="s">
        <v>85</v>
      </c>
      <c r="B93" s="3" t="s">
        <v>86</v>
      </c>
      <c r="C93" s="4">
        <v>0.67600000000000005</v>
      </c>
      <c r="D93" s="4">
        <v>0.68100000000000005</v>
      </c>
      <c r="E93" s="4">
        <v>0.68400000000000005</v>
      </c>
      <c r="F93" s="4">
        <v>0.69</v>
      </c>
      <c r="G93" s="4">
        <v>0.69699999999999995</v>
      </c>
      <c r="H93" s="4">
        <v>0.70399999999999996</v>
      </c>
      <c r="I93" s="4">
        <v>0.71199999999999997</v>
      </c>
      <c r="J93" s="4">
        <v>0.71699999999999997</v>
      </c>
      <c r="K93" s="4">
        <v>0.73599999999999999</v>
      </c>
      <c r="L93" s="4">
        <v>0.74</v>
      </c>
      <c r="M93" s="4">
        <v>0.746</v>
      </c>
      <c r="N93" s="4">
        <v>0.751</v>
      </c>
      <c r="O93" s="4">
        <v>0.755</v>
      </c>
      <c r="P93" s="4">
        <v>0.76300000000000001</v>
      </c>
      <c r="Q93" s="4">
        <v>0.76900000000000002</v>
      </c>
      <c r="R93" s="4">
        <v>0.77700000000000002</v>
      </c>
      <c r="S93" s="4">
        <v>0.78200000000000003</v>
      </c>
      <c r="T93" s="4">
        <v>0.78900000000000003</v>
      </c>
      <c r="U93" s="4">
        <v>0.79600000000000004</v>
      </c>
      <c r="V93" s="4">
        <v>0.78700000000000003</v>
      </c>
      <c r="W93" s="4">
        <v>0.76600000000000001</v>
      </c>
      <c r="X93" s="4">
        <v>0.76400000000000001</v>
      </c>
      <c r="Y93" s="5">
        <v>0.76500000000000001</v>
      </c>
      <c r="Z93" t="s">
        <v>379</v>
      </c>
      <c r="AA93" t="s">
        <v>505</v>
      </c>
      <c r="AB93">
        <v>68</v>
      </c>
      <c r="AC93">
        <f>LN(_xlfn.XLOOKUP(Sheet2!A93,DataSheet!$G$2:$G$267,DataSheet!$H$2:$H$267))</f>
        <v>8.9367239172932447</v>
      </c>
    </row>
    <row r="94" spans="1:29" x14ac:dyDescent="0.2">
      <c r="A94" s="2" t="s">
        <v>333</v>
      </c>
      <c r="B94" s="3" t="s">
        <v>334</v>
      </c>
      <c r="C94" s="4">
        <v>0.79300000000000004</v>
      </c>
      <c r="D94" s="4">
        <v>0.79700000000000004</v>
      </c>
      <c r="E94" s="4">
        <v>0.8</v>
      </c>
      <c r="F94" s="4">
        <v>0.80300000000000005</v>
      </c>
      <c r="G94" s="4">
        <v>0.81100000000000005</v>
      </c>
      <c r="H94" s="4">
        <v>0.81299999999999994</v>
      </c>
      <c r="I94" s="4">
        <v>0.81899999999999995</v>
      </c>
      <c r="J94" s="4">
        <v>0.82199999999999995</v>
      </c>
      <c r="K94" s="4">
        <v>0.82499999999999996</v>
      </c>
      <c r="L94" s="4">
        <v>0.82699999999999996</v>
      </c>
      <c r="M94" s="4">
        <v>0.83099999999999996</v>
      </c>
      <c r="N94" s="4">
        <v>0.83599999999999997</v>
      </c>
      <c r="O94" s="4">
        <v>0.83699999999999997</v>
      </c>
      <c r="P94" s="4">
        <v>0.84199999999999997</v>
      </c>
      <c r="Q94" s="4">
        <v>0.84699999999999998</v>
      </c>
      <c r="R94" s="4">
        <v>0.85</v>
      </c>
      <c r="S94" s="4">
        <v>0.85099999999999998</v>
      </c>
      <c r="T94" s="4">
        <v>0.85699999999999998</v>
      </c>
      <c r="U94" s="4">
        <v>0.85799999999999998</v>
      </c>
      <c r="V94" s="4">
        <v>0.86399999999999999</v>
      </c>
      <c r="W94" s="4">
        <v>0.86099999999999999</v>
      </c>
      <c r="X94" s="4">
        <v>0.86499999999999999</v>
      </c>
      <c r="Y94" s="5">
        <v>0.874</v>
      </c>
      <c r="Z94" t="s">
        <v>379</v>
      </c>
      <c r="AA94" t="s">
        <v>504</v>
      </c>
      <c r="AB94">
        <v>71</v>
      </c>
      <c r="AC94">
        <f>LN(_xlfn.XLOOKUP(Sheet2!A94,DataSheet!$G$2:$G$267,DataSheet!$H$2:$H$267))</f>
        <v>10.111335512431898</v>
      </c>
    </row>
    <row r="95" spans="1:29" x14ac:dyDescent="0.2">
      <c r="A95" s="2" t="s">
        <v>369</v>
      </c>
      <c r="B95" s="3" t="s">
        <v>370</v>
      </c>
      <c r="C95" s="4">
        <v>0.86299999999999999</v>
      </c>
      <c r="D95" s="4">
        <v>0.86899999999999999</v>
      </c>
      <c r="E95" s="4">
        <v>0.874</v>
      </c>
      <c r="F95" s="4">
        <v>0.879</v>
      </c>
      <c r="G95" s="4">
        <v>0.88900000000000001</v>
      </c>
      <c r="H95" s="4">
        <v>0.89500000000000002</v>
      </c>
      <c r="I95" s="4">
        <v>0.89400000000000002</v>
      </c>
      <c r="J95" s="4">
        <v>0.89700000000000002</v>
      </c>
      <c r="K95" s="4">
        <v>0.90200000000000002</v>
      </c>
      <c r="L95" s="4">
        <v>0.90700000000000003</v>
      </c>
      <c r="M95" s="4">
        <v>0.91300000000000003</v>
      </c>
      <c r="N95" s="4">
        <v>0.90900000000000003</v>
      </c>
      <c r="O95" s="4">
        <v>0.91</v>
      </c>
      <c r="P95" s="4">
        <v>0.92300000000000004</v>
      </c>
      <c r="Q95" s="4">
        <v>0.92400000000000004</v>
      </c>
      <c r="R95" s="4">
        <v>0.92300000000000004</v>
      </c>
      <c r="S95" s="4">
        <v>0.92600000000000005</v>
      </c>
      <c r="T95" s="4">
        <v>0.92900000000000005</v>
      </c>
      <c r="U95" s="4">
        <v>0.92800000000000005</v>
      </c>
      <c r="V95" s="4">
        <v>0.93300000000000005</v>
      </c>
      <c r="W95" s="4">
        <v>0.92</v>
      </c>
      <c r="X95" s="4">
        <v>0.93100000000000005</v>
      </c>
      <c r="Y95" s="5">
        <v>0.94</v>
      </c>
      <c r="Z95" t="s">
        <v>379</v>
      </c>
      <c r="AA95" t="s">
        <v>504</v>
      </c>
      <c r="AB95">
        <v>73</v>
      </c>
      <c r="AC95">
        <f>LN(_xlfn.XLOOKUP(Sheet2!A95,DataSheet!$G$2:$G$267,DataSheet!$H$2:$H$267))</f>
        <v>10.759115829878199</v>
      </c>
    </row>
    <row r="96" spans="1:29" x14ac:dyDescent="0.2">
      <c r="A96" s="2" t="s">
        <v>285</v>
      </c>
      <c r="B96" s="3" t="s">
        <v>286</v>
      </c>
      <c r="C96" s="4">
        <v>0.81799999999999995</v>
      </c>
      <c r="D96" s="4">
        <v>0.82699999999999996</v>
      </c>
      <c r="E96" s="4">
        <v>0.83799999999999997</v>
      </c>
      <c r="F96" s="4">
        <v>0.84399999999999997</v>
      </c>
      <c r="G96" s="4">
        <v>0.85199999999999998</v>
      </c>
      <c r="H96" s="4">
        <v>0.86399999999999999</v>
      </c>
      <c r="I96" s="4">
        <v>0.872</v>
      </c>
      <c r="J96" s="4">
        <v>0.86599999999999999</v>
      </c>
      <c r="K96" s="4">
        <v>0.871</v>
      </c>
      <c r="L96" s="4">
        <v>0.873</v>
      </c>
      <c r="M96" s="4">
        <v>0.874</v>
      </c>
      <c r="N96" s="4">
        <v>0.871</v>
      </c>
      <c r="O96" s="4">
        <v>0.87</v>
      </c>
      <c r="P96" s="4">
        <v>0.874</v>
      </c>
      <c r="Q96" s="4">
        <v>0.879</v>
      </c>
      <c r="R96" s="4">
        <v>0.88100000000000001</v>
      </c>
      <c r="S96" s="4">
        <v>0.877</v>
      </c>
      <c r="T96" s="4">
        <v>0.88</v>
      </c>
      <c r="U96" s="4">
        <v>0.88600000000000001</v>
      </c>
      <c r="V96" s="4">
        <v>0.89</v>
      </c>
      <c r="W96" s="4">
        <v>0.88700000000000001</v>
      </c>
      <c r="X96" s="4">
        <v>0.88700000000000001</v>
      </c>
      <c r="Y96" s="5">
        <v>0.89300000000000002</v>
      </c>
      <c r="Z96" t="s">
        <v>379</v>
      </c>
      <c r="AA96" t="s">
        <v>504</v>
      </c>
      <c r="AB96">
        <v>74</v>
      </c>
      <c r="AC96">
        <f>LN(_xlfn.XLOOKUP(Sheet2!A96,DataSheet!$G$2:$G$267,DataSheet!$H$2:$H$267))</f>
        <v>9.9468594596641893</v>
      </c>
    </row>
    <row r="97" spans="1:29" x14ac:dyDescent="0.2">
      <c r="A97" s="6" t="s">
        <v>311</v>
      </c>
      <c r="B97" s="7" t="s">
        <v>312</v>
      </c>
      <c r="C97" s="8">
        <v>0.871</v>
      </c>
      <c r="D97" s="8">
        <v>0.88700000000000001</v>
      </c>
      <c r="E97" s="8">
        <v>0.89100000000000001</v>
      </c>
      <c r="F97" s="8">
        <v>0.89600000000000002</v>
      </c>
      <c r="G97" s="8">
        <v>0.91</v>
      </c>
      <c r="H97" s="8">
        <v>0.90200000000000002</v>
      </c>
      <c r="I97" s="8">
        <v>0.90700000000000003</v>
      </c>
      <c r="J97" s="8">
        <v>0.90900000000000003</v>
      </c>
      <c r="K97" s="8">
        <v>0.91800000000000004</v>
      </c>
      <c r="L97" s="8">
        <v>0.91300000000000003</v>
      </c>
      <c r="M97" s="8">
        <v>0.91600000000000004</v>
      </c>
      <c r="N97" s="8">
        <v>0.91900000000000004</v>
      </c>
      <c r="O97" s="8">
        <v>0.92100000000000004</v>
      </c>
      <c r="P97" s="8">
        <v>0.92100000000000004</v>
      </c>
      <c r="Q97" s="8">
        <v>0.92300000000000004</v>
      </c>
      <c r="R97" s="8">
        <v>0.92600000000000005</v>
      </c>
      <c r="S97" s="8">
        <v>0.92500000000000004</v>
      </c>
      <c r="T97" s="8">
        <v>0.93400000000000005</v>
      </c>
      <c r="U97" s="8">
        <v>0.92800000000000005</v>
      </c>
      <c r="V97" s="8">
        <v>0.94</v>
      </c>
      <c r="W97" s="8">
        <v>0.93300000000000005</v>
      </c>
      <c r="X97" s="8">
        <v>0.93600000000000005</v>
      </c>
      <c r="Y97" s="9">
        <v>0.94199999999999995</v>
      </c>
      <c r="Z97" t="s">
        <v>379</v>
      </c>
      <c r="AA97" t="s">
        <v>505</v>
      </c>
      <c r="AB97">
        <v>76</v>
      </c>
      <c r="AC97">
        <f>LN(_xlfn.XLOOKUP(Sheet2!A97,DataSheet!$G$2:$G$267,DataSheet!$H$2:$H$267))</f>
        <v>12.144489768171015</v>
      </c>
    </row>
    <row r="98" spans="1:29" x14ac:dyDescent="0.2">
      <c r="A98" s="6" t="s">
        <v>271</v>
      </c>
      <c r="B98" s="7" t="s">
        <v>272</v>
      </c>
      <c r="C98" s="8">
        <v>0.81</v>
      </c>
      <c r="D98" s="8">
        <v>0.82</v>
      </c>
      <c r="E98" s="8">
        <v>0.82599999999999996</v>
      </c>
      <c r="F98" s="8">
        <v>0.83299999999999996</v>
      </c>
      <c r="G98" s="8">
        <v>0.83799999999999997</v>
      </c>
      <c r="H98" s="8">
        <v>0.84699999999999998</v>
      </c>
      <c r="I98" s="8">
        <v>0.85599999999999998</v>
      </c>
      <c r="J98" s="8">
        <v>0.86199999999999999</v>
      </c>
      <c r="K98" s="8">
        <v>0.86499999999999999</v>
      </c>
      <c r="L98" s="8">
        <v>0.86599999999999999</v>
      </c>
      <c r="M98" s="8">
        <v>0.872</v>
      </c>
      <c r="N98" s="8">
        <v>0.876</v>
      </c>
      <c r="O98" s="8">
        <v>0.878</v>
      </c>
      <c r="P98" s="8">
        <v>0.88400000000000001</v>
      </c>
      <c r="Q98" s="8">
        <v>0.88900000000000001</v>
      </c>
      <c r="R98" s="8">
        <v>0.89100000000000001</v>
      </c>
      <c r="S98" s="8">
        <v>0.89400000000000002</v>
      </c>
      <c r="T98" s="8">
        <v>0.89600000000000002</v>
      </c>
      <c r="U98" s="8">
        <v>0.89300000000000002</v>
      </c>
      <c r="V98" s="8">
        <v>0.89600000000000002</v>
      </c>
      <c r="W98" s="8">
        <v>0.89100000000000001</v>
      </c>
      <c r="X98" s="8">
        <v>0.89100000000000001</v>
      </c>
      <c r="Y98" s="9">
        <v>0.89500000000000002</v>
      </c>
      <c r="Z98" t="s">
        <v>379</v>
      </c>
      <c r="AA98" t="s">
        <v>505</v>
      </c>
      <c r="AB98">
        <v>85</v>
      </c>
      <c r="AC98">
        <f>LN(_xlfn.XLOOKUP(Sheet2!A98,DataSheet!$G$2:$G$267,DataSheet!$H$2:$H$267))</f>
        <v>10.249988748460938</v>
      </c>
    </row>
    <row r="99" spans="1:29" x14ac:dyDescent="0.2">
      <c r="A99" s="6" t="s">
        <v>295</v>
      </c>
      <c r="B99" s="7" t="s">
        <v>296</v>
      </c>
      <c r="C99" s="8">
        <v>0.85099999999999998</v>
      </c>
      <c r="D99" s="8">
        <v>0.85899999999999999</v>
      </c>
      <c r="E99" s="8">
        <v>0.86799999999999999</v>
      </c>
      <c r="F99" s="8">
        <v>0.877</v>
      </c>
      <c r="G99" s="8">
        <v>0.88800000000000001</v>
      </c>
      <c r="H99" s="8">
        <v>0.89400000000000002</v>
      </c>
      <c r="I99" s="8">
        <v>0.89800000000000002</v>
      </c>
      <c r="J99" s="8">
        <v>0.90400000000000003</v>
      </c>
      <c r="K99" s="8">
        <v>0.90500000000000003</v>
      </c>
      <c r="L99" s="8">
        <v>0.9</v>
      </c>
      <c r="M99" s="8">
        <v>0.90800000000000003</v>
      </c>
      <c r="N99" s="8">
        <v>0.90600000000000003</v>
      </c>
      <c r="O99" s="8">
        <v>0.90700000000000003</v>
      </c>
      <c r="P99" s="8">
        <v>0.91100000000000003</v>
      </c>
      <c r="Q99" s="8">
        <v>0.91800000000000004</v>
      </c>
      <c r="R99" s="8">
        <v>0.92400000000000004</v>
      </c>
      <c r="S99" s="8">
        <v>0.92900000000000005</v>
      </c>
      <c r="T99" s="8">
        <v>0.93400000000000005</v>
      </c>
      <c r="U99" s="8">
        <v>0.93799999999999994</v>
      </c>
      <c r="V99" s="8">
        <v>0.94199999999999995</v>
      </c>
      <c r="W99" s="8">
        <v>0.94499999999999995</v>
      </c>
      <c r="X99" s="8">
        <v>0.94599999999999995</v>
      </c>
      <c r="Y99" s="9">
        <v>0.95</v>
      </c>
      <c r="Z99" t="s">
        <v>379</v>
      </c>
      <c r="AA99" t="s">
        <v>504</v>
      </c>
      <c r="AB99">
        <v>92</v>
      </c>
      <c r="AC99">
        <f>LN(_xlfn.XLOOKUP(Sheet2!A99,DataSheet!$G$2:$G$267,DataSheet!$H$2:$H$267))</f>
        <v>11.563530039244521</v>
      </c>
    </row>
    <row r="100" spans="1:29" x14ac:dyDescent="0.2">
      <c r="A100" s="2" t="s">
        <v>345</v>
      </c>
      <c r="B100" s="3" t="s">
        <v>346</v>
      </c>
      <c r="C100" s="4">
        <v>0.68899999999999995</v>
      </c>
      <c r="D100" s="4">
        <v>0.69899999999999995</v>
      </c>
      <c r="E100" s="4">
        <v>0.70099999999999996</v>
      </c>
      <c r="F100" s="4">
        <v>0.71</v>
      </c>
      <c r="G100" s="4">
        <v>0.72099999999999997</v>
      </c>
      <c r="H100" s="4">
        <v>0.73199999999999998</v>
      </c>
      <c r="I100" s="4">
        <v>0.74299999999999999</v>
      </c>
      <c r="J100" s="4">
        <v>0.753</v>
      </c>
      <c r="K100" s="4">
        <v>0.76400000000000001</v>
      </c>
      <c r="L100" s="4">
        <v>0.76600000000000001</v>
      </c>
      <c r="M100" s="4">
        <v>0.76800000000000002</v>
      </c>
      <c r="N100" s="4">
        <v>0.77300000000000002</v>
      </c>
      <c r="O100" s="4">
        <v>0.78</v>
      </c>
      <c r="P100" s="4">
        <v>0.78500000000000003</v>
      </c>
      <c r="Q100" s="4">
        <v>0.78700000000000003</v>
      </c>
      <c r="R100" s="4">
        <v>0.79400000000000004</v>
      </c>
      <c r="S100" s="4">
        <v>0.8</v>
      </c>
      <c r="T100" s="4">
        <v>0.80200000000000005</v>
      </c>
      <c r="U100" s="4">
        <v>0.80800000000000005</v>
      </c>
      <c r="V100" s="4">
        <v>0.81200000000000006</v>
      </c>
      <c r="W100" s="4">
        <v>0.80600000000000005</v>
      </c>
      <c r="X100" s="4">
        <v>0.80400000000000005</v>
      </c>
      <c r="Y100" s="5">
        <v>0.80500000000000005</v>
      </c>
      <c r="Z100" t="s">
        <v>379</v>
      </c>
      <c r="AA100" t="s">
        <v>505</v>
      </c>
      <c r="AB100">
        <v>95</v>
      </c>
      <c r="AC100">
        <f>LN(_xlfn.XLOOKUP(Sheet2!A100,DataSheet!$G$2:$G$267,DataSheet!$H$2:$H$267))</f>
        <v>9.2128192071241788</v>
      </c>
    </row>
    <row r="101" spans="1:29" x14ac:dyDescent="0.2">
      <c r="A101" s="2" t="s">
        <v>357</v>
      </c>
      <c r="B101" s="3" t="s">
        <v>358</v>
      </c>
      <c r="C101" s="4">
        <v>0.90300000000000002</v>
      </c>
      <c r="D101" s="4">
        <v>0.90600000000000003</v>
      </c>
      <c r="E101" s="4">
        <v>0.90900000000000003</v>
      </c>
      <c r="F101" s="4">
        <v>0.91400000000000003</v>
      </c>
      <c r="G101" s="4">
        <v>0.90100000000000002</v>
      </c>
      <c r="H101" s="4">
        <v>0.90300000000000002</v>
      </c>
      <c r="I101" s="4">
        <v>0.90700000000000003</v>
      </c>
      <c r="J101" s="4">
        <v>0.90900000000000003</v>
      </c>
      <c r="K101" s="4">
        <v>0.90500000000000003</v>
      </c>
      <c r="L101" s="4">
        <v>0.90400000000000003</v>
      </c>
      <c r="M101" s="4">
        <v>0.91</v>
      </c>
      <c r="N101" s="4">
        <v>0.91200000000000003</v>
      </c>
      <c r="O101" s="4">
        <v>0.91200000000000003</v>
      </c>
      <c r="P101" s="4">
        <v>0.93200000000000005</v>
      </c>
      <c r="Q101" s="4">
        <v>0.93500000000000005</v>
      </c>
      <c r="R101" s="4">
        <v>0.93700000000000006</v>
      </c>
      <c r="S101" s="4">
        <v>0.93899999999999995</v>
      </c>
      <c r="T101" s="4">
        <v>0.94099999999999995</v>
      </c>
      <c r="U101" s="4">
        <v>0.94299999999999995</v>
      </c>
      <c r="V101" s="4">
        <v>0.94699999999999995</v>
      </c>
      <c r="W101" s="4">
        <v>0.94399999999999995</v>
      </c>
      <c r="X101" s="4">
        <v>0.94899999999999995</v>
      </c>
      <c r="Y101" s="5">
        <v>0.95199999999999996</v>
      </c>
      <c r="Z101" t="s">
        <v>379</v>
      </c>
      <c r="AA101" t="s">
        <v>504</v>
      </c>
      <c r="AB101">
        <v>102</v>
      </c>
      <c r="AC101">
        <f>LN(_xlfn.XLOOKUP(Sheet2!A101,DataSheet!$G$2:$G$267,DataSheet!$H$2:$H$267))</f>
        <v>10.91211843440294</v>
      </c>
    </row>
    <row r="102" spans="1:29" x14ac:dyDescent="0.2">
      <c r="A102" s="2" t="s">
        <v>273</v>
      </c>
      <c r="B102" s="3" t="s">
        <v>274</v>
      </c>
      <c r="C102" s="4">
        <v>0.89</v>
      </c>
      <c r="D102" s="4">
        <v>0.89700000000000002</v>
      </c>
      <c r="E102" s="4">
        <v>0.89600000000000002</v>
      </c>
      <c r="F102" s="4">
        <v>0.90100000000000002</v>
      </c>
      <c r="G102" s="4">
        <v>0.90600000000000003</v>
      </c>
      <c r="H102" s="4">
        <v>0.91100000000000003</v>
      </c>
      <c r="I102" s="4">
        <v>0.91100000000000003</v>
      </c>
      <c r="J102" s="4">
        <v>0.91200000000000003</v>
      </c>
      <c r="K102" s="4">
        <v>0.91500000000000004</v>
      </c>
      <c r="L102" s="4">
        <v>0.90900000000000003</v>
      </c>
      <c r="M102" s="4">
        <v>0.91300000000000003</v>
      </c>
      <c r="N102" s="4">
        <v>0.92700000000000005</v>
      </c>
      <c r="O102" s="4">
        <v>0.93100000000000005</v>
      </c>
      <c r="P102" s="4">
        <v>0.93300000000000005</v>
      </c>
      <c r="Q102" s="4">
        <v>0.93200000000000005</v>
      </c>
      <c r="R102" s="4">
        <v>0.93600000000000005</v>
      </c>
      <c r="S102" s="4">
        <v>0.94299999999999995</v>
      </c>
      <c r="T102" s="4">
        <v>0.94399999999999995</v>
      </c>
      <c r="U102" s="4">
        <v>0.94199999999999995</v>
      </c>
      <c r="V102" s="4">
        <v>0.94599999999999995</v>
      </c>
      <c r="W102" s="4">
        <v>0.94599999999999995</v>
      </c>
      <c r="X102" s="4">
        <v>0.94699999999999995</v>
      </c>
      <c r="Y102" s="5">
        <v>0.95199999999999996</v>
      </c>
      <c r="Z102" t="s">
        <v>379</v>
      </c>
      <c r="AA102" t="s">
        <v>504</v>
      </c>
      <c r="AB102">
        <v>104</v>
      </c>
      <c r="AC102">
        <f>LN(_xlfn.XLOOKUP(Sheet2!A102,DataSheet!$G$2:$G$267,DataSheet!$H$2:$H$267))</f>
        <v>11.124038586960536</v>
      </c>
    </row>
    <row r="103" spans="1:29" x14ac:dyDescent="0.2">
      <c r="A103" s="2" t="s">
        <v>81</v>
      </c>
      <c r="B103" s="3" t="s">
        <v>82</v>
      </c>
      <c r="C103" s="4">
        <v>0.65500000000000003</v>
      </c>
      <c r="D103" s="4">
        <v>0.66200000000000003</v>
      </c>
      <c r="E103" s="4">
        <v>0.67100000000000004</v>
      </c>
      <c r="F103" s="4">
        <v>0.68100000000000005</v>
      </c>
      <c r="G103" s="4">
        <v>0.69099999999999995</v>
      </c>
      <c r="H103" s="4">
        <v>0.69799999999999995</v>
      </c>
      <c r="I103" s="4">
        <v>0.70599999999999996</v>
      </c>
      <c r="J103" s="4">
        <v>0.71099999999999997</v>
      </c>
      <c r="K103" s="4">
        <v>0.71799999999999997</v>
      </c>
      <c r="L103" s="4">
        <v>0.71299999999999997</v>
      </c>
      <c r="M103" s="4">
        <v>0.71599999999999997</v>
      </c>
      <c r="N103" s="4">
        <v>0.71899999999999997</v>
      </c>
      <c r="O103" s="4">
        <v>0.72199999999999998</v>
      </c>
      <c r="P103" s="4">
        <v>0.72599999999999998</v>
      </c>
      <c r="Q103" s="4">
        <v>0.749</v>
      </c>
      <c r="R103" s="4">
        <v>0.749</v>
      </c>
      <c r="S103" s="4">
        <v>0.755</v>
      </c>
      <c r="T103" s="4">
        <v>0.76400000000000001</v>
      </c>
      <c r="U103" s="4">
        <v>0.76700000000000002</v>
      </c>
      <c r="V103" s="4">
        <v>0.77300000000000002</v>
      </c>
      <c r="W103" s="4">
        <v>0.76500000000000001</v>
      </c>
      <c r="X103" s="4">
        <v>0.76700000000000002</v>
      </c>
      <c r="Y103" s="5">
        <v>0.76300000000000001</v>
      </c>
      <c r="Z103" t="s">
        <v>379</v>
      </c>
      <c r="AA103" t="s">
        <v>505</v>
      </c>
      <c r="AB103">
        <v>116</v>
      </c>
      <c r="AC103">
        <f>LN(_xlfn.XLOOKUP(Sheet2!A103,DataSheet!$G$2:$G$267,DataSheet!$H$2:$H$267))</f>
        <v>8.6559626727691885</v>
      </c>
    </row>
    <row r="104" spans="1:29" x14ac:dyDescent="0.2">
      <c r="A104" s="6" t="s">
        <v>267</v>
      </c>
      <c r="B104" s="7" t="s">
        <v>268</v>
      </c>
      <c r="C104" s="8">
        <v>0.76400000000000001</v>
      </c>
      <c r="D104" s="8">
        <v>0.77900000000000003</v>
      </c>
      <c r="E104" s="8">
        <v>0.78500000000000003</v>
      </c>
      <c r="F104" s="8">
        <v>0.79</v>
      </c>
      <c r="G104" s="8">
        <v>0.80100000000000005</v>
      </c>
      <c r="H104" s="8">
        <v>0.80600000000000005</v>
      </c>
      <c r="I104" s="8">
        <v>0.81399999999999995</v>
      </c>
      <c r="J104" s="8">
        <v>0.81799999999999995</v>
      </c>
      <c r="K104" s="8">
        <v>0.82099999999999995</v>
      </c>
      <c r="L104" s="8">
        <v>0.81899999999999995</v>
      </c>
      <c r="M104" s="8">
        <v>0.82399999999999995</v>
      </c>
      <c r="N104" s="8">
        <v>0.82899999999999996</v>
      </c>
      <c r="O104" s="8">
        <v>0.83199999999999996</v>
      </c>
      <c r="P104" s="8">
        <v>0.83899999999999997</v>
      </c>
      <c r="Q104" s="8">
        <v>0.84199999999999997</v>
      </c>
      <c r="R104" s="8">
        <v>0.84399999999999997</v>
      </c>
      <c r="S104" s="8">
        <v>0.85</v>
      </c>
      <c r="T104" s="8">
        <v>0.85499999999999998</v>
      </c>
      <c r="U104" s="8">
        <v>0.86</v>
      </c>
      <c r="V104" s="8">
        <v>0.86599999999999999</v>
      </c>
      <c r="W104" s="8">
        <v>0.86</v>
      </c>
      <c r="X104" s="8">
        <v>0.86699999999999999</v>
      </c>
      <c r="Y104" s="9">
        <v>0.878</v>
      </c>
      <c r="Z104" t="s">
        <v>379</v>
      </c>
      <c r="AA104" t="s">
        <v>504</v>
      </c>
      <c r="AB104">
        <v>117</v>
      </c>
      <c r="AC104">
        <f>LN(_xlfn.XLOOKUP(Sheet2!A104,DataSheet!$G$2:$G$267,DataSheet!$H$2:$H$267))</f>
        <v>9.8236616471926013</v>
      </c>
    </row>
    <row r="105" spans="1:29" x14ac:dyDescent="0.2">
      <c r="A105" s="2" t="s">
        <v>341</v>
      </c>
      <c r="B105" s="3" t="s">
        <v>342</v>
      </c>
      <c r="C105" s="4">
        <v>0.875</v>
      </c>
      <c r="D105" s="4">
        <v>0.879</v>
      </c>
      <c r="E105" s="4">
        <v>0.88200000000000001</v>
      </c>
      <c r="F105" s="4">
        <v>0.88300000000000001</v>
      </c>
      <c r="G105" s="4">
        <v>0.88500000000000001</v>
      </c>
      <c r="H105" s="4">
        <v>0.88800000000000001</v>
      </c>
      <c r="I105" s="4">
        <v>0.89200000000000002</v>
      </c>
      <c r="J105" s="4">
        <v>0.89500000000000002</v>
      </c>
      <c r="K105" s="4">
        <v>0.89800000000000002</v>
      </c>
      <c r="L105" s="4">
        <v>0.9</v>
      </c>
      <c r="M105" s="4">
        <v>0.90100000000000002</v>
      </c>
      <c r="N105" s="4">
        <v>0.89500000000000002</v>
      </c>
      <c r="O105" s="4">
        <v>0.88600000000000001</v>
      </c>
      <c r="P105" s="4">
        <v>0.88200000000000001</v>
      </c>
      <c r="Q105" s="4">
        <v>0.879</v>
      </c>
      <c r="R105" s="4">
        <v>0.872</v>
      </c>
      <c r="S105" s="4">
        <v>0.86799999999999999</v>
      </c>
      <c r="T105" s="4">
        <v>0.86699999999999999</v>
      </c>
      <c r="U105" s="4">
        <v>0.85899999999999999</v>
      </c>
      <c r="V105" s="4">
        <v>0.86099999999999999</v>
      </c>
      <c r="W105" s="4">
        <v>0.84399999999999997</v>
      </c>
      <c r="X105" s="4">
        <v>0.85299999999999998</v>
      </c>
      <c r="Y105" s="5">
        <v>0.86699999999999999</v>
      </c>
      <c r="Z105" t="s">
        <v>379</v>
      </c>
      <c r="AA105" t="s">
        <v>504</v>
      </c>
      <c r="AB105">
        <v>118</v>
      </c>
      <c r="AC105">
        <f>LN(_xlfn.XLOOKUP(Sheet2!A105,DataSheet!$G$2:$G$267,DataSheet!$H$2:$H$267))</f>
        <v>10.900267202670912</v>
      </c>
    </row>
    <row r="106" spans="1:29" x14ac:dyDescent="0.2">
      <c r="A106" s="2" t="s">
        <v>109</v>
      </c>
      <c r="B106" s="3" t="s">
        <v>110</v>
      </c>
      <c r="C106" s="4">
        <v>0.69799999999999995</v>
      </c>
      <c r="D106" s="4">
        <v>0.71299999999999997</v>
      </c>
      <c r="E106" s="4">
        <v>0.72099999999999997</v>
      </c>
      <c r="F106" s="4">
        <v>0.73</v>
      </c>
      <c r="G106" s="4">
        <v>0.73899999999999999</v>
      </c>
      <c r="H106" s="4">
        <v>0.74299999999999999</v>
      </c>
      <c r="I106" s="4">
        <v>0.752</v>
      </c>
      <c r="J106" s="4">
        <v>0.75900000000000001</v>
      </c>
      <c r="K106" s="4">
        <v>0.76300000000000001</v>
      </c>
      <c r="L106" s="4">
        <v>0.76100000000000001</v>
      </c>
      <c r="M106" s="4">
        <v>0.76600000000000001</v>
      </c>
      <c r="N106" s="4">
        <v>0.77200000000000002</v>
      </c>
      <c r="O106" s="4">
        <v>0.77400000000000002</v>
      </c>
      <c r="P106" s="4">
        <v>0.77400000000000002</v>
      </c>
      <c r="Q106" s="4">
        <v>0.77400000000000002</v>
      </c>
      <c r="R106" s="4">
        <v>0.76400000000000001</v>
      </c>
      <c r="S106" s="4">
        <v>0.76700000000000002</v>
      </c>
      <c r="T106" s="4">
        <v>0.77100000000000002</v>
      </c>
      <c r="U106" s="4">
        <v>0.77100000000000002</v>
      </c>
      <c r="V106" s="4">
        <v>0.77400000000000002</v>
      </c>
      <c r="W106" s="4">
        <v>0.76200000000000001</v>
      </c>
      <c r="X106" s="4">
        <v>0.755</v>
      </c>
      <c r="Y106" s="5">
        <v>0.73399999999999999</v>
      </c>
      <c r="Z106" t="s">
        <v>379</v>
      </c>
      <c r="AA106" t="s">
        <v>505</v>
      </c>
      <c r="AB106">
        <v>122</v>
      </c>
      <c r="AC106">
        <f>LN(_xlfn.XLOOKUP(Sheet2!A106,DataSheet!$G$2:$G$267,DataSheet!$H$2:$H$267))</f>
        <v>8.3427614440585209</v>
      </c>
    </row>
    <row r="107" spans="1:29" x14ac:dyDescent="0.2">
      <c r="A107" s="6" t="s">
        <v>319</v>
      </c>
      <c r="B107" s="7" t="s">
        <v>320</v>
      </c>
      <c r="C107" s="8">
        <v>0.77900000000000003</v>
      </c>
      <c r="D107" s="8">
        <v>0.79300000000000004</v>
      </c>
      <c r="E107" s="8">
        <v>0.79800000000000004</v>
      </c>
      <c r="F107" s="8">
        <v>0.81200000000000006</v>
      </c>
      <c r="G107" s="8">
        <v>0.82599999999999996</v>
      </c>
      <c r="H107" s="8">
        <v>0.83399999999999996</v>
      </c>
      <c r="I107" s="8">
        <v>0.83199999999999996</v>
      </c>
      <c r="J107" s="8">
        <v>0.84</v>
      </c>
      <c r="K107" s="8">
        <v>0.84399999999999997</v>
      </c>
      <c r="L107" s="8">
        <v>0.84899999999999998</v>
      </c>
      <c r="M107" s="8">
        <v>0.86199999999999999</v>
      </c>
      <c r="N107" s="8">
        <v>0.85699999999999998</v>
      </c>
      <c r="O107" s="8">
        <v>0.86499999999999999</v>
      </c>
      <c r="P107" s="8">
        <v>0.874</v>
      </c>
      <c r="Q107" s="8">
        <v>0.88100000000000001</v>
      </c>
      <c r="R107" s="8">
        <v>0.88700000000000001</v>
      </c>
      <c r="S107" s="8">
        <v>0.88700000000000001</v>
      </c>
      <c r="T107" s="8">
        <v>0.89600000000000002</v>
      </c>
      <c r="U107" s="8">
        <v>0.90300000000000002</v>
      </c>
      <c r="V107" s="8">
        <v>0.90500000000000003</v>
      </c>
      <c r="W107" s="8">
        <v>0.90100000000000002</v>
      </c>
      <c r="X107" s="8">
        <v>0.91200000000000003</v>
      </c>
      <c r="Y107" s="9">
        <v>0.91500000000000004</v>
      </c>
      <c r="Z107" t="s">
        <v>379</v>
      </c>
      <c r="AA107" t="s">
        <v>504</v>
      </c>
      <c r="AB107">
        <v>123</v>
      </c>
      <c r="AC107">
        <f>LN(_xlfn.XLOOKUP(Sheet2!A107,DataSheet!$G$2:$G$267,DataSheet!$H$2:$H$267))</f>
        <v>10.481192649334959</v>
      </c>
    </row>
    <row r="108" spans="1:29" x14ac:dyDescent="0.2">
      <c r="A108" s="2" t="s">
        <v>249</v>
      </c>
      <c r="B108" s="3" t="s">
        <v>250</v>
      </c>
      <c r="C108" s="4">
        <v>0.87</v>
      </c>
      <c r="D108" s="4">
        <v>0.874</v>
      </c>
      <c r="E108" s="4">
        <v>0.878</v>
      </c>
      <c r="F108" s="4">
        <v>0.88</v>
      </c>
      <c r="G108" s="4">
        <v>0.88600000000000001</v>
      </c>
      <c r="H108" s="4">
        <v>0.88900000000000001</v>
      </c>
      <c r="I108" s="4">
        <v>0.89300000000000002</v>
      </c>
      <c r="J108" s="4">
        <v>0.89600000000000002</v>
      </c>
      <c r="K108" s="4">
        <v>0.89900000000000002</v>
      </c>
      <c r="L108" s="4">
        <v>0.89800000000000002</v>
      </c>
      <c r="M108" s="4">
        <v>0.90300000000000002</v>
      </c>
      <c r="N108" s="4">
        <v>0.90700000000000003</v>
      </c>
      <c r="O108" s="4">
        <v>0.90900000000000003</v>
      </c>
      <c r="P108" s="4">
        <v>0.90700000000000003</v>
      </c>
      <c r="Q108" s="4">
        <v>0.91100000000000003</v>
      </c>
      <c r="R108" s="4">
        <v>0.91</v>
      </c>
      <c r="S108" s="4">
        <v>0.91300000000000003</v>
      </c>
      <c r="T108" s="4">
        <v>0.91400000000000003</v>
      </c>
      <c r="U108" s="4">
        <v>0.91700000000000004</v>
      </c>
      <c r="V108" s="4">
        <v>0.92</v>
      </c>
      <c r="W108" s="4">
        <v>0.91600000000000004</v>
      </c>
      <c r="X108" s="4">
        <v>0.92</v>
      </c>
      <c r="Y108" s="5">
        <v>0.92600000000000005</v>
      </c>
      <c r="Z108" t="s">
        <v>379</v>
      </c>
      <c r="AA108" t="s">
        <v>504</v>
      </c>
      <c r="AB108">
        <v>125</v>
      </c>
      <c r="AC108">
        <f>LN(_xlfn.XLOOKUP(Sheet2!A108,DataSheet!$G$2:$G$267,DataSheet!$H$2:$H$267))</f>
        <v>10.865454510063607</v>
      </c>
    </row>
    <row r="109" spans="1:29" x14ac:dyDescent="0.2">
      <c r="A109" s="6" t="s">
        <v>259</v>
      </c>
      <c r="B109" s="7" t="s">
        <v>260</v>
      </c>
      <c r="C109" s="8">
        <v>0.88400000000000001</v>
      </c>
      <c r="D109" s="8">
        <v>0.88900000000000001</v>
      </c>
      <c r="E109" s="8">
        <v>0.89100000000000001</v>
      </c>
      <c r="F109" s="8">
        <v>0.89300000000000002</v>
      </c>
      <c r="G109" s="8">
        <v>0.89900000000000002</v>
      </c>
      <c r="H109" s="8">
        <v>0.90100000000000002</v>
      </c>
      <c r="I109" s="8">
        <v>0.90400000000000003</v>
      </c>
      <c r="J109" s="8">
        <v>0.90700000000000003</v>
      </c>
      <c r="K109" s="8">
        <v>0.90900000000000003</v>
      </c>
      <c r="L109" s="8">
        <v>0.91</v>
      </c>
      <c r="M109" s="8">
        <v>0.91300000000000003</v>
      </c>
      <c r="N109" s="8">
        <v>0.91400000000000003</v>
      </c>
      <c r="O109" s="8">
        <v>0.91500000000000004</v>
      </c>
      <c r="P109" s="8">
        <v>0.91700000000000004</v>
      </c>
      <c r="Q109" s="8">
        <v>0.92200000000000004</v>
      </c>
      <c r="R109" s="8">
        <v>0.92400000000000004</v>
      </c>
      <c r="S109" s="8">
        <v>0.92700000000000005</v>
      </c>
      <c r="T109" s="8">
        <v>0.93100000000000005</v>
      </c>
      <c r="U109" s="8">
        <v>0.93300000000000005</v>
      </c>
      <c r="V109" s="8">
        <v>0.93600000000000005</v>
      </c>
      <c r="W109" s="8">
        <v>0.93</v>
      </c>
      <c r="X109" s="8">
        <v>0.93799999999999994</v>
      </c>
      <c r="Y109" s="9">
        <v>0.94199999999999995</v>
      </c>
      <c r="Z109" t="s">
        <v>379</v>
      </c>
      <c r="AA109" t="s">
        <v>504</v>
      </c>
      <c r="AB109">
        <v>126</v>
      </c>
      <c r="AC109">
        <f>LN(_xlfn.XLOOKUP(Sheet2!A109,DataSheet!$G$2:$G$267,DataSheet!$H$2:$H$267))</f>
        <v>10.83182047925489</v>
      </c>
    </row>
    <row r="110" spans="1:29" x14ac:dyDescent="0.2">
      <c r="A110" s="6" t="s">
        <v>339</v>
      </c>
      <c r="B110" s="7" t="s">
        <v>340</v>
      </c>
      <c r="C110" s="8">
        <v>0.73299999999999998</v>
      </c>
      <c r="D110" s="8">
        <v>0.74299999999999999</v>
      </c>
      <c r="E110" s="8">
        <v>0.749</v>
      </c>
      <c r="F110" s="8">
        <v>0.75700000000000001</v>
      </c>
      <c r="G110" s="8">
        <v>0.76400000000000001</v>
      </c>
      <c r="H110" s="8">
        <v>0.76700000000000002</v>
      </c>
      <c r="I110" s="8">
        <v>0.77800000000000002</v>
      </c>
      <c r="J110" s="8">
        <v>0.78900000000000003</v>
      </c>
      <c r="K110" s="8">
        <v>0.79300000000000004</v>
      </c>
      <c r="L110" s="8">
        <v>0.79100000000000004</v>
      </c>
      <c r="M110" s="8">
        <v>0.79700000000000004</v>
      </c>
      <c r="N110" s="8">
        <v>0.80700000000000005</v>
      </c>
      <c r="O110" s="8">
        <v>0.81100000000000005</v>
      </c>
      <c r="P110" s="8">
        <v>0.81599999999999995</v>
      </c>
      <c r="Q110" s="8">
        <v>0.81799999999999995</v>
      </c>
      <c r="R110" s="8">
        <v>0.82299999999999995</v>
      </c>
      <c r="S110" s="8">
        <v>0.82599999999999996</v>
      </c>
      <c r="T110" s="8">
        <v>0.82699999999999996</v>
      </c>
      <c r="U110" s="8">
        <v>0.83599999999999997</v>
      </c>
      <c r="V110" s="8">
        <v>0.83899999999999997</v>
      </c>
      <c r="W110" s="8">
        <v>0.82599999999999996</v>
      </c>
      <c r="X110" s="8">
        <v>0.81799999999999995</v>
      </c>
      <c r="Y110" s="9">
        <v>0.82099999999999995</v>
      </c>
      <c r="Z110" t="s">
        <v>379</v>
      </c>
      <c r="AA110" t="s">
        <v>505</v>
      </c>
      <c r="AB110">
        <v>130</v>
      </c>
      <c r="AC110">
        <f>LN(_xlfn.XLOOKUP(Sheet2!A110,DataSheet!$G$2:$G$267,DataSheet!$H$2:$H$267))</f>
        <v>9.6562827303871419</v>
      </c>
    </row>
    <row r="111" spans="1:29" x14ac:dyDescent="0.2">
      <c r="A111" s="6" t="s">
        <v>315</v>
      </c>
      <c r="B111" s="7" t="s">
        <v>316</v>
      </c>
      <c r="C111" s="8">
        <v>0.86399999999999999</v>
      </c>
      <c r="D111" s="8">
        <v>0.86699999999999999</v>
      </c>
      <c r="E111" s="8">
        <v>0.872</v>
      </c>
      <c r="F111" s="8">
        <v>0.873</v>
      </c>
      <c r="G111" s="8">
        <v>0.88100000000000001</v>
      </c>
      <c r="H111" s="8">
        <v>0.88200000000000001</v>
      </c>
      <c r="I111" s="8">
        <v>0.88200000000000001</v>
      </c>
      <c r="J111" s="8">
        <v>0.88500000000000001</v>
      </c>
      <c r="K111" s="8">
        <v>0.89800000000000002</v>
      </c>
      <c r="L111" s="8">
        <v>0.90800000000000003</v>
      </c>
      <c r="M111" s="8">
        <v>0.91200000000000003</v>
      </c>
      <c r="N111" s="8">
        <v>0.91300000000000003</v>
      </c>
      <c r="O111" s="8">
        <v>0.91700000000000004</v>
      </c>
      <c r="P111" s="8">
        <v>0.92200000000000004</v>
      </c>
      <c r="Q111" s="8">
        <v>0.92700000000000005</v>
      </c>
      <c r="R111" s="8">
        <v>0.91400000000000003</v>
      </c>
      <c r="S111" s="8">
        <v>0.92200000000000004</v>
      </c>
      <c r="T111" s="8">
        <v>0.91800000000000004</v>
      </c>
      <c r="U111" s="8">
        <v>0.92100000000000004</v>
      </c>
      <c r="V111" s="8">
        <v>0.92500000000000004</v>
      </c>
      <c r="W111" s="8">
        <v>0.92100000000000004</v>
      </c>
      <c r="X111" s="8">
        <v>0.92700000000000005</v>
      </c>
      <c r="Y111" s="9">
        <v>0.92700000000000005</v>
      </c>
      <c r="Z111" t="s">
        <v>379</v>
      </c>
      <c r="AA111" t="s">
        <v>504</v>
      </c>
      <c r="AB111">
        <v>134</v>
      </c>
      <c r="AC111">
        <f>LN(_xlfn.XLOOKUP(Sheet2!A111,DataSheet!$G$2:$G$267,DataSheet!$H$2:$H$267))</f>
        <v>11.725773470571477</v>
      </c>
    </row>
    <row r="112" spans="1:29" x14ac:dyDescent="0.2">
      <c r="A112" s="6" t="s">
        <v>275</v>
      </c>
      <c r="B112" s="7" t="s">
        <v>276</v>
      </c>
      <c r="C112" s="8">
        <v>0.79800000000000004</v>
      </c>
      <c r="D112" s="8">
        <v>0.80700000000000005</v>
      </c>
      <c r="E112" s="8">
        <v>0.81799999999999995</v>
      </c>
      <c r="F112" s="8">
        <v>0.82599999999999996</v>
      </c>
      <c r="G112" s="8">
        <v>0.83599999999999997</v>
      </c>
      <c r="H112" s="8">
        <v>0.84799999999999998</v>
      </c>
      <c r="I112" s="8">
        <v>0.85599999999999998</v>
      </c>
      <c r="J112" s="8">
        <v>0.85899999999999999</v>
      </c>
      <c r="K112" s="8">
        <v>0.86099999999999999</v>
      </c>
      <c r="L112" s="8">
        <v>0.85899999999999999</v>
      </c>
      <c r="M112" s="8">
        <v>0.86399999999999999</v>
      </c>
      <c r="N112" s="8">
        <v>0.873</v>
      </c>
      <c r="O112" s="8">
        <v>0.876</v>
      </c>
      <c r="P112" s="8">
        <v>0.88100000000000001</v>
      </c>
      <c r="Q112" s="8">
        <v>0.879</v>
      </c>
      <c r="R112" s="8">
        <v>0.88300000000000001</v>
      </c>
      <c r="S112" s="8">
        <v>0.88400000000000001</v>
      </c>
      <c r="T112" s="8">
        <v>0.88600000000000001</v>
      </c>
      <c r="U112" s="8">
        <v>0.89</v>
      </c>
      <c r="V112" s="8">
        <v>0.89300000000000002</v>
      </c>
      <c r="W112" s="8">
        <v>0.89100000000000001</v>
      </c>
      <c r="X112" s="8">
        <v>0.89</v>
      </c>
      <c r="Y112" s="9">
        <v>0.89900000000000002</v>
      </c>
      <c r="Z112" t="s">
        <v>379</v>
      </c>
      <c r="AA112" t="s">
        <v>504</v>
      </c>
      <c r="AB112">
        <v>139</v>
      </c>
      <c r="AC112">
        <f>LN(_xlfn.XLOOKUP(Sheet2!A112,DataSheet!$G$2:$G$267,DataSheet!$H$2:$H$267))</f>
        <v>10.252043017034934</v>
      </c>
    </row>
    <row r="113" spans="1:29" x14ac:dyDescent="0.2">
      <c r="A113" s="2" t="s">
        <v>277</v>
      </c>
      <c r="B113" s="3" t="s">
        <v>278</v>
      </c>
      <c r="C113" s="4">
        <v>0.88700000000000001</v>
      </c>
      <c r="D113" s="4">
        <v>0.89700000000000002</v>
      </c>
      <c r="E113" s="4">
        <v>0.90100000000000002</v>
      </c>
      <c r="F113" s="4">
        <v>0.90500000000000003</v>
      </c>
      <c r="G113" s="4">
        <v>0.90100000000000002</v>
      </c>
      <c r="H113" s="4">
        <v>0.90400000000000003</v>
      </c>
      <c r="I113" s="4">
        <v>0.90900000000000003</v>
      </c>
      <c r="J113" s="4">
        <v>0.91100000000000003</v>
      </c>
      <c r="K113" s="4">
        <v>0.91300000000000003</v>
      </c>
      <c r="L113" s="4">
        <v>0.90800000000000003</v>
      </c>
      <c r="M113" s="4">
        <v>0.91200000000000003</v>
      </c>
      <c r="N113" s="4">
        <v>0.91600000000000004</v>
      </c>
      <c r="O113" s="4">
        <v>0.91600000000000004</v>
      </c>
      <c r="P113" s="4">
        <v>0.92600000000000005</v>
      </c>
      <c r="Q113" s="4">
        <v>0.92800000000000005</v>
      </c>
      <c r="R113" s="4">
        <v>0.93</v>
      </c>
      <c r="S113" s="4">
        <v>0.93100000000000005</v>
      </c>
      <c r="T113" s="4">
        <v>0.93400000000000005</v>
      </c>
      <c r="U113" s="4">
        <v>0.93600000000000005</v>
      </c>
      <c r="V113" s="4">
        <v>0.93899999999999995</v>
      </c>
      <c r="W113" s="4">
        <v>0.93899999999999995</v>
      </c>
      <c r="X113" s="4">
        <v>0.94099999999999995</v>
      </c>
      <c r="Y113" s="5">
        <v>0.94199999999999995</v>
      </c>
      <c r="Z113" t="s">
        <v>379</v>
      </c>
      <c r="AA113" t="s">
        <v>504</v>
      </c>
      <c r="AB113">
        <v>140</v>
      </c>
      <c r="AC113">
        <f>LN(_xlfn.XLOOKUP(Sheet2!A113,DataSheet!$G$2:$G$267,DataSheet!$H$2:$H$267))</f>
        <v>10.828550896282051</v>
      </c>
    </row>
    <row r="114" spans="1:29" x14ac:dyDescent="0.2">
      <c r="A114" s="6" t="s">
        <v>35</v>
      </c>
      <c r="B114" s="7" t="s">
        <v>36</v>
      </c>
      <c r="C114" s="8">
        <v>0.65600000000000003</v>
      </c>
      <c r="D114" s="8">
        <v>0.66100000000000003</v>
      </c>
      <c r="E114" s="8">
        <v>0.66300000000000003</v>
      </c>
      <c r="F114" s="8">
        <v>0.67100000000000004</v>
      </c>
      <c r="G114" s="8">
        <v>0.67800000000000005</v>
      </c>
      <c r="H114" s="8">
        <v>0.67900000000000005</v>
      </c>
      <c r="I114" s="8">
        <v>0.68700000000000006</v>
      </c>
      <c r="J114" s="8">
        <v>0.70199999999999996</v>
      </c>
      <c r="K114" s="8">
        <v>0.71399999999999997</v>
      </c>
      <c r="L114" s="8">
        <v>0.71599999999999997</v>
      </c>
      <c r="M114" s="8">
        <v>0.71799999999999997</v>
      </c>
      <c r="N114" s="8">
        <v>0.72299999999999998</v>
      </c>
      <c r="O114" s="8">
        <v>0.73499999999999999</v>
      </c>
      <c r="P114" s="8">
        <v>0.745</v>
      </c>
      <c r="Q114" s="8">
        <v>0.751</v>
      </c>
      <c r="R114" s="8">
        <v>0.75700000000000001</v>
      </c>
      <c r="S114" s="8">
        <v>0.76700000000000002</v>
      </c>
      <c r="T114" s="8">
        <v>0.77</v>
      </c>
      <c r="U114" s="8">
        <v>0.77400000000000002</v>
      </c>
      <c r="V114" s="8">
        <v>0.78</v>
      </c>
      <c r="W114" s="8">
        <v>0.77600000000000002</v>
      </c>
      <c r="X114" s="8">
        <v>0.77600000000000002</v>
      </c>
      <c r="Y114" s="9">
        <v>0.77900000000000003</v>
      </c>
      <c r="Z114" t="s">
        <v>379</v>
      </c>
      <c r="AA114" t="s">
        <v>505</v>
      </c>
      <c r="AB114">
        <v>145</v>
      </c>
      <c r="AC114">
        <f>LN(_xlfn.XLOOKUP(Sheet2!A114,DataSheet!$G$2:$G$267,DataSheet!$H$2:$H$267))</f>
        <v>8.9431919288545245</v>
      </c>
    </row>
    <row r="115" spans="1:29" x14ac:dyDescent="0.2">
      <c r="A115" s="6" t="s">
        <v>283</v>
      </c>
      <c r="B115" s="7" t="s">
        <v>284</v>
      </c>
      <c r="C115" s="8">
        <v>0.89</v>
      </c>
      <c r="D115" s="8">
        <v>0.89700000000000002</v>
      </c>
      <c r="E115" s="8">
        <v>0.90200000000000002</v>
      </c>
      <c r="F115" s="8">
        <v>0.90600000000000003</v>
      </c>
      <c r="G115" s="8">
        <v>0.91500000000000004</v>
      </c>
      <c r="H115" s="8">
        <v>0.91600000000000004</v>
      </c>
      <c r="I115" s="8">
        <v>0.92</v>
      </c>
      <c r="J115" s="8">
        <v>0.92300000000000004</v>
      </c>
      <c r="K115" s="8">
        <v>0.92600000000000005</v>
      </c>
      <c r="L115" s="8">
        <v>0.92500000000000004</v>
      </c>
      <c r="M115" s="8">
        <v>0.92900000000000005</v>
      </c>
      <c r="N115" s="8">
        <v>0.93500000000000005</v>
      </c>
      <c r="O115" s="8">
        <v>0.93700000000000006</v>
      </c>
      <c r="P115" s="8">
        <v>0.93799999999999994</v>
      </c>
      <c r="Q115" s="8">
        <v>0.94199999999999995</v>
      </c>
      <c r="R115" s="8">
        <v>0.94099999999999995</v>
      </c>
      <c r="S115" s="8">
        <v>0.94099999999999995</v>
      </c>
      <c r="T115" s="8">
        <v>0.94399999999999995</v>
      </c>
      <c r="U115" s="8">
        <v>0.94599999999999995</v>
      </c>
      <c r="V115" s="8">
        <v>0.95099999999999996</v>
      </c>
      <c r="W115" s="8">
        <v>0.94799999999999995</v>
      </c>
      <c r="X115" s="8">
        <v>0.94799999999999995</v>
      </c>
      <c r="Y115" s="9">
        <v>0.95</v>
      </c>
      <c r="Z115" t="s">
        <v>379</v>
      </c>
      <c r="AA115" t="s">
        <v>504</v>
      </c>
      <c r="AB115">
        <v>154</v>
      </c>
      <c r="AC115">
        <f>LN(_xlfn.XLOOKUP(Sheet2!A115,DataSheet!$G$2:$G$267,DataSheet!$H$2:$H$267))</f>
        <v>10.829857676241655</v>
      </c>
    </row>
    <row r="116" spans="1:29" x14ac:dyDescent="0.2">
      <c r="A116" s="2" t="s">
        <v>221</v>
      </c>
      <c r="B116" s="3" t="s">
        <v>222</v>
      </c>
      <c r="C116" s="4">
        <v>0.56299999999999994</v>
      </c>
      <c r="D116" s="4">
        <v>0.56799999999999995</v>
      </c>
      <c r="E116" s="4">
        <v>0.57299999999999995</v>
      </c>
      <c r="F116" s="4">
        <v>0.57499999999999996</v>
      </c>
      <c r="G116" s="4">
        <v>0.57999999999999996</v>
      </c>
      <c r="H116" s="4">
        <v>0.58499999999999996</v>
      </c>
      <c r="I116" s="4">
        <v>0.59</v>
      </c>
      <c r="J116" s="4">
        <v>0.59599999999999997</v>
      </c>
      <c r="K116" s="4">
        <v>0.60199999999999998</v>
      </c>
      <c r="L116" s="4">
        <v>0.60299999999999998</v>
      </c>
      <c r="M116" s="4">
        <v>0.61099999999999999</v>
      </c>
      <c r="N116" s="4">
        <v>0.61899999999999999</v>
      </c>
      <c r="O116" s="4">
        <v>0.625</v>
      </c>
      <c r="P116" s="4">
        <v>0.63100000000000001</v>
      </c>
      <c r="Q116" s="4">
        <v>0.63800000000000001</v>
      </c>
      <c r="R116" s="4">
        <v>0.64400000000000002</v>
      </c>
      <c r="S116" s="4">
        <v>0.65</v>
      </c>
      <c r="T116" s="4">
        <v>0.65600000000000003</v>
      </c>
      <c r="U116" s="4">
        <v>0.65800000000000003</v>
      </c>
      <c r="V116" s="4">
        <v>0.66100000000000003</v>
      </c>
      <c r="W116" s="4">
        <v>0.65200000000000002</v>
      </c>
      <c r="X116" s="4">
        <v>0.66500000000000004</v>
      </c>
      <c r="Y116" s="5">
        <v>0.66900000000000004</v>
      </c>
      <c r="Z116" s="16" t="s">
        <v>570</v>
      </c>
      <c r="AA116" t="s">
        <v>505</v>
      </c>
      <c r="AB116">
        <v>51</v>
      </c>
      <c r="AC116">
        <f>LN(_xlfn.XLOOKUP(Sheet2!A116,DataSheet!$G$2:$G$267,DataSheet!$H$2:$H$267))</f>
        <v>7.7505676115569075</v>
      </c>
    </row>
    <row r="117" spans="1:29" x14ac:dyDescent="0.2">
      <c r="A117" s="6" t="s">
        <v>67</v>
      </c>
      <c r="B117" s="7" t="s">
        <v>68</v>
      </c>
      <c r="C117" s="8">
        <v>0.65700000000000003</v>
      </c>
      <c r="D117" s="8">
        <v>0.66600000000000004</v>
      </c>
      <c r="E117" s="8">
        <v>0.66900000000000004</v>
      </c>
      <c r="F117" s="8">
        <v>0.66500000000000004</v>
      </c>
      <c r="G117" s="8">
        <v>0.68</v>
      </c>
      <c r="H117" s="8">
        <v>0.68500000000000005</v>
      </c>
      <c r="I117" s="8">
        <v>0.69499999999999995</v>
      </c>
      <c r="J117" s="8">
        <v>0.70299999999999996</v>
      </c>
      <c r="K117" s="8">
        <v>0.71199999999999997</v>
      </c>
      <c r="L117" s="8">
        <v>0.71199999999999997</v>
      </c>
      <c r="M117" s="8">
        <v>0.71099999999999997</v>
      </c>
      <c r="N117" s="8">
        <v>0.71499999999999997</v>
      </c>
      <c r="O117" s="8">
        <v>0.71599999999999997</v>
      </c>
      <c r="P117" s="8">
        <v>0.71499999999999997</v>
      </c>
      <c r="Q117" s="8">
        <v>0.71399999999999997</v>
      </c>
      <c r="R117" s="8">
        <v>0.71199999999999997</v>
      </c>
      <c r="S117" s="8">
        <v>0.71</v>
      </c>
      <c r="T117" s="8">
        <v>0.71099999999999997</v>
      </c>
      <c r="U117" s="8">
        <v>0.71099999999999997</v>
      </c>
      <c r="V117" s="8">
        <v>0.71199999999999997</v>
      </c>
      <c r="W117" s="8">
        <v>0.70699999999999996</v>
      </c>
      <c r="X117" s="8">
        <v>0.70399999999999996</v>
      </c>
      <c r="Y117" s="9">
        <v>0.70599999999999996</v>
      </c>
      <c r="Z117" t="s">
        <v>570</v>
      </c>
      <c r="AA117" t="s">
        <v>505</v>
      </c>
      <c r="AB117">
        <v>64</v>
      </c>
      <c r="AC117">
        <f>LN(_xlfn.XLOOKUP(Sheet2!A117,DataSheet!$G$2:$G$267,DataSheet!$H$2:$H$267))</f>
        <v>8.7988282706011098</v>
      </c>
    </row>
    <row r="118" spans="1:29" x14ac:dyDescent="0.2">
      <c r="A118" s="6" t="s">
        <v>195</v>
      </c>
      <c r="B118" s="7" t="s">
        <v>196</v>
      </c>
      <c r="C118" s="8">
        <v>0.55100000000000005</v>
      </c>
      <c r="D118" s="8">
        <v>0.55600000000000005</v>
      </c>
      <c r="E118" s="8">
        <v>0.56100000000000005</v>
      </c>
      <c r="F118" s="8">
        <v>0.56599999999999995</v>
      </c>
      <c r="G118" s="8">
        <v>0.56999999999999995</v>
      </c>
      <c r="H118" s="8">
        <v>0.57399999999999995</v>
      </c>
      <c r="I118" s="8">
        <v>0.57999999999999996</v>
      </c>
      <c r="J118" s="8">
        <v>0.59</v>
      </c>
      <c r="K118" s="8">
        <v>0.59899999999999998</v>
      </c>
      <c r="L118" s="8">
        <v>0.60599999999999998</v>
      </c>
      <c r="M118" s="8">
        <v>0.61299999999999999</v>
      </c>
      <c r="N118" s="8">
        <v>0.61699999999999999</v>
      </c>
      <c r="O118" s="8">
        <v>0.62</v>
      </c>
      <c r="P118" s="8">
        <v>0.623</v>
      </c>
      <c r="Q118" s="8">
        <v>0.64</v>
      </c>
      <c r="R118" s="8">
        <v>0.629</v>
      </c>
      <c r="S118" s="8">
        <v>0.63300000000000001</v>
      </c>
      <c r="T118" s="8">
        <v>0.63600000000000001</v>
      </c>
      <c r="U118" s="8">
        <v>0.64</v>
      </c>
      <c r="V118" s="8">
        <v>0.64500000000000002</v>
      </c>
      <c r="W118" s="8">
        <v>0.63800000000000001</v>
      </c>
      <c r="X118" s="8">
        <v>0.63</v>
      </c>
      <c r="Y118" s="9">
        <v>0.629</v>
      </c>
      <c r="Z118" s="16" t="s">
        <v>570</v>
      </c>
      <c r="AA118" t="s">
        <v>505</v>
      </c>
      <c r="AB118">
        <v>67</v>
      </c>
      <c r="AC118">
        <f>LN(_xlfn.XLOOKUP(Sheet2!A118,DataSheet!$G$2:$G$267,DataSheet!$H$2:$H$267))</f>
        <v>8.5864769803159486</v>
      </c>
    </row>
    <row r="119" spans="1:29" x14ac:dyDescent="0.2">
      <c r="A119" s="6" t="s">
        <v>263</v>
      </c>
      <c r="B119" s="7" t="s">
        <v>264</v>
      </c>
      <c r="C119" s="8">
        <v>0.89</v>
      </c>
      <c r="D119" s="8">
        <v>0.89300000000000002</v>
      </c>
      <c r="E119" s="8">
        <v>0.89500000000000002</v>
      </c>
      <c r="F119" s="8">
        <v>0.89700000000000002</v>
      </c>
      <c r="G119" s="8">
        <v>0.90100000000000002</v>
      </c>
      <c r="H119" s="8">
        <v>0.90300000000000002</v>
      </c>
      <c r="I119" s="8">
        <v>0.90700000000000003</v>
      </c>
      <c r="J119" s="8">
        <v>0.90700000000000003</v>
      </c>
      <c r="K119" s="8">
        <v>0.90900000000000003</v>
      </c>
      <c r="L119" s="8">
        <v>0.91</v>
      </c>
      <c r="M119" s="8">
        <v>0.91100000000000003</v>
      </c>
      <c r="N119" s="8">
        <v>0.91400000000000003</v>
      </c>
      <c r="O119" s="8">
        <v>0.92100000000000004</v>
      </c>
      <c r="P119" s="8">
        <v>0.92300000000000004</v>
      </c>
      <c r="Q119" s="8">
        <v>0.92500000000000004</v>
      </c>
      <c r="R119" s="8">
        <v>0.92700000000000005</v>
      </c>
      <c r="S119" s="8">
        <v>0.92800000000000005</v>
      </c>
      <c r="T119" s="8">
        <v>0.92900000000000005</v>
      </c>
      <c r="U119" s="8">
        <v>0.93</v>
      </c>
      <c r="V119" s="8">
        <v>0.93200000000000005</v>
      </c>
      <c r="W119" s="8">
        <v>0.92800000000000005</v>
      </c>
      <c r="X119" s="8">
        <v>0.93400000000000005</v>
      </c>
      <c r="Y119" s="9">
        <v>0.93500000000000005</v>
      </c>
      <c r="Z119" t="s">
        <v>570</v>
      </c>
      <c r="AA119" t="s">
        <v>504</v>
      </c>
      <c r="AB119">
        <v>68</v>
      </c>
      <c r="AC119">
        <f>LN(_xlfn.XLOOKUP(Sheet2!A119,DataSheet!$G$2:$G$267,DataSheet!$H$2:$H$267))</f>
        <v>10.937682214092023</v>
      </c>
    </row>
    <row r="120" spans="1:29" x14ac:dyDescent="0.2">
      <c r="A120" s="2" t="s">
        <v>185</v>
      </c>
      <c r="B120" s="3" t="s">
        <v>186</v>
      </c>
      <c r="C120" s="4">
        <v>0.60899999999999999</v>
      </c>
      <c r="D120" s="4">
        <v>0.61199999999999999</v>
      </c>
      <c r="E120" s="4">
        <v>0.621</v>
      </c>
      <c r="F120" s="4">
        <v>0.627</v>
      </c>
      <c r="G120" s="4">
        <v>0.63300000000000001</v>
      </c>
      <c r="H120" s="4">
        <v>0.64</v>
      </c>
      <c r="I120" s="4">
        <v>0.64500000000000002</v>
      </c>
      <c r="J120" s="4">
        <v>0.65100000000000002</v>
      </c>
      <c r="K120" s="4">
        <v>0.65100000000000002</v>
      </c>
      <c r="L120" s="4">
        <v>0.65100000000000002</v>
      </c>
      <c r="M120" s="4">
        <v>0.65700000000000003</v>
      </c>
      <c r="N120" s="4">
        <v>0.65700000000000003</v>
      </c>
      <c r="O120" s="4">
        <v>0.66100000000000003</v>
      </c>
      <c r="P120" s="4">
        <v>0.66400000000000003</v>
      </c>
      <c r="Q120" s="4">
        <v>0.66300000000000003</v>
      </c>
      <c r="R120" s="4">
        <v>0.66300000000000003</v>
      </c>
      <c r="S120" s="4">
        <v>0.66400000000000003</v>
      </c>
      <c r="T120" s="4">
        <v>0.66700000000000004</v>
      </c>
      <c r="U120" s="4">
        <v>0.67300000000000004</v>
      </c>
      <c r="V120" s="4">
        <v>0.67600000000000005</v>
      </c>
      <c r="W120" s="4">
        <v>0.66600000000000004</v>
      </c>
      <c r="X120" s="4">
        <v>0.66900000000000004</v>
      </c>
      <c r="Y120" s="5">
        <v>0.67400000000000004</v>
      </c>
      <c r="Z120" s="16" t="s">
        <v>570</v>
      </c>
      <c r="AA120" t="s">
        <v>505</v>
      </c>
      <c r="AB120">
        <v>71</v>
      </c>
      <c r="AC120">
        <f>LN(_xlfn.XLOOKUP(Sheet2!A120,DataSheet!$G$2:$G$267,DataSheet!$H$2:$H$267))</f>
        <v>8.5320033968953517</v>
      </c>
    </row>
    <row r="121" spans="1:29" x14ac:dyDescent="0.2">
      <c r="A121" s="6" t="s">
        <v>95</v>
      </c>
      <c r="B121" s="7" t="s">
        <v>96</v>
      </c>
      <c r="C121" s="8">
        <v>0.69199999999999995</v>
      </c>
      <c r="D121" s="8">
        <v>0.69299999999999995</v>
      </c>
      <c r="E121" s="8">
        <v>0.69699999999999995</v>
      </c>
      <c r="F121" s="8">
        <v>0.70099999999999996</v>
      </c>
      <c r="G121" s="8">
        <v>0.70599999999999996</v>
      </c>
      <c r="H121" s="8">
        <v>0.71099999999999997</v>
      </c>
      <c r="I121" s="8">
        <v>0.72199999999999998</v>
      </c>
      <c r="J121" s="8">
        <v>0.72099999999999997</v>
      </c>
      <c r="K121" s="8">
        <v>0.73</v>
      </c>
      <c r="L121" s="8">
        <v>0.73299999999999998</v>
      </c>
      <c r="M121" s="8">
        <v>0.73099999999999998</v>
      </c>
      <c r="N121" s="8">
        <v>0.73699999999999999</v>
      </c>
      <c r="O121" s="8">
        <v>0.73099999999999998</v>
      </c>
      <c r="P121" s="8">
        <v>0.72299999999999998</v>
      </c>
      <c r="Q121" s="8">
        <v>0.72699999999999998</v>
      </c>
      <c r="R121" s="8">
        <v>0.73599999999999999</v>
      </c>
      <c r="S121" s="8">
        <v>0.74399999999999999</v>
      </c>
      <c r="T121" s="8">
        <v>0.74199999999999999</v>
      </c>
      <c r="U121" s="8">
        <v>0.74399999999999999</v>
      </c>
      <c r="V121" s="8">
        <v>0.73299999999999998</v>
      </c>
      <c r="W121" s="8">
        <v>0.72399999999999998</v>
      </c>
      <c r="X121" s="8">
        <v>0.71699999999999997</v>
      </c>
      <c r="Y121" s="9">
        <v>0.72499999999999998</v>
      </c>
      <c r="Z121" s="16" t="s">
        <v>570</v>
      </c>
      <c r="AA121" t="s">
        <v>505</v>
      </c>
      <c r="AB121">
        <v>73</v>
      </c>
      <c r="AC121">
        <f>LN(_xlfn.XLOOKUP(Sheet2!A121,DataSheet!$G$2:$G$267,DataSheet!$H$2:$H$267))</f>
        <v>9.4806593978833025</v>
      </c>
    </row>
    <row r="122" spans="1:29" x14ac:dyDescent="0.2">
      <c r="A122" s="6" t="s">
        <v>251</v>
      </c>
      <c r="B122" s="7" t="s">
        <v>252</v>
      </c>
      <c r="C122" s="8">
        <v>0.78800000000000003</v>
      </c>
      <c r="D122" s="8">
        <v>0.79</v>
      </c>
      <c r="E122" s="8">
        <v>0.79200000000000004</v>
      </c>
      <c r="F122" s="8">
        <v>0.79300000000000004</v>
      </c>
      <c r="G122" s="8">
        <v>0.79500000000000004</v>
      </c>
      <c r="H122" s="8">
        <v>0.79800000000000004</v>
      </c>
      <c r="I122" s="8">
        <v>0.8</v>
      </c>
      <c r="J122" s="8">
        <v>0.8</v>
      </c>
      <c r="K122" s="8">
        <v>0.80100000000000005</v>
      </c>
      <c r="L122" s="8">
        <v>0.79800000000000004</v>
      </c>
      <c r="M122" s="8">
        <v>0.8</v>
      </c>
      <c r="N122" s="8">
        <v>0.8</v>
      </c>
      <c r="O122" s="8">
        <v>0.80300000000000005</v>
      </c>
      <c r="P122" s="8">
        <v>0.80400000000000005</v>
      </c>
      <c r="Q122" s="8">
        <v>0.80700000000000005</v>
      </c>
      <c r="R122" s="8">
        <v>0.80700000000000005</v>
      </c>
      <c r="S122" s="8">
        <v>0.80900000000000005</v>
      </c>
      <c r="T122" s="8">
        <v>0.81200000000000006</v>
      </c>
      <c r="U122" s="8">
        <v>0.81399999999999995</v>
      </c>
      <c r="V122" s="8">
        <v>0.80200000000000005</v>
      </c>
      <c r="W122" s="8">
        <v>0.79800000000000004</v>
      </c>
      <c r="X122" s="8">
        <v>0.79900000000000004</v>
      </c>
      <c r="Y122" s="9">
        <v>0.82</v>
      </c>
      <c r="Z122" s="16" t="s">
        <v>570</v>
      </c>
      <c r="AA122" t="s">
        <v>505</v>
      </c>
      <c r="AB122">
        <v>74</v>
      </c>
      <c r="AC122">
        <f>LN(_xlfn.XLOOKUP(Sheet2!A122,DataSheet!$G$2:$G$267,DataSheet!$H$2:$H$267))</f>
        <v>10.461878627960107</v>
      </c>
    </row>
    <row r="123" spans="1:29" x14ac:dyDescent="0.2">
      <c r="A123" s="2" t="s">
        <v>197</v>
      </c>
      <c r="B123" s="3" t="s">
        <v>198</v>
      </c>
      <c r="C123" s="4">
        <v>0.48499999999999999</v>
      </c>
      <c r="D123" s="4">
        <v>0.48699999999999999</v>
      </c>
      <c r="E123" s="4">
        <v>0.49099999999999999</v>
      </c>
      <c r="F123" s="4">
        <v>0.497</v>
      </c>
      <c r="G123" s="4">
        <v>0.49399999999999999</v>
      </c>
      <c r="H123" s="4">
        <v>0.50600000000000001</v>
      </c>
      <c r="I123" s="4">
        <v>0.51</v>
      </c>
      <c r="J123" s="4">
        <v>0.51600000000000001</v>
      </c>
      <c r="K123" s="4">
        <v>0.52</v>
      </c>
      <c r="L123" s="4">
        <v>0.52600000000000002</v>
      </c>
      <c r="M123" s="4">
        <v>0.44900000000000001</v>
      </c>
      <c r="N123" s="4">
        <v>0.52900000000000003</v>
      </c>
      <c r="O123" s="4">
        <v>0.53400000000000003</v>
      </c>
      <c r="P123" s="4">
        <v>0.54</v>
      </c>
      <c r="Q123" s="4">
        <v>0.54500000000000004</v>
      </c>
      <c r="R123" s="4">
        <v>0.54900000000000004</v>
      </c>
      <c r="S123" s="4">
        <v>0.55200000000000005</v>
      </c>
      <c r="T123" s="4">
        <v>0.55700000000000005</v>
      </c>
      <c r="U123" s="4">
        <v>0.55900000000000005</v>
      </c>
      <c r="V123" s="4">
        <v>0.55900000000000005</v>
      </c>
      <c r="W123" s="4">
        <v>0.55700000000000005</v>
      </c>
      <c r="X123" s="4">
        <v>0.55100000000000005</v>
      </c>
      <c r="Y123" s="5">
        <v>0.55200000000000005</v>
      </c>
      <c r="Z123" s="16" t="s">
        <v>570</v>
      </c>
      <c r="AA123" t="s">
        <v>505</v>
      </c>
      <c r="AB123">
        <v>76</v>
      </c>
      <c r="AC123">
        <f>LN(_xlfn.XLOOKUP(Sheet2!A123,DataSheet!$G$2:$G$267,DataSheet!$H$2:$H$267))</f>
        <v>7.4734249110833026</v>
      </c>
    </row>
    <row r="124" spans="1:29" x14ac:dyDescent="0.2">
      <c r="A124" s="2" t="s">
        <v>97</v>
      </c>
      <c r="B124" s="3" t="s">
        <v>98</v>
      </c>
      <c r="C124" s="4">
        <v>0.69099999999999995</v>
      </c>
      <c r="D124" s="4">
        <v>0.69699999999999995</v>
      </c>
      <c r="E124" s="4">
        <v>0.70399999999999996</v>
      </c>
      <c r="F124" s="4">
        <v>0.71199999999999997</v>
      </c>
      <c r="G124" s="4">
        <v>0.71899999999999997</v>
      </c>
      <c r="H124" s="4">
        <v>0.72699999999999998</v>
      </c>
      <c r="I124" s="4">
        <v>0.73699999999999999</v>
      </c>
      <c r="J124" s="4">
        <v>0.747</v>
      </c>
      <c r="K124" s="4">
        <v>0.752</v>
      </c>
      <c r="L124" s="4">
        <v>0.75600000000000001</v>
      </c>
      <c r="M124" s="4">
        <v>0.75600000000000001</v>
      </c>
      <c r="N124" s="4">
        <v>0.75900000000000001</v>
      </c>
      <c r="O124" s="4">
        <v>0.76200000000000001</v>
      </c>
      <c r="P124" s="4">
        <v>0.76600000000000001</v>
      </c>
      <c r="Q124" s="4">
        <v>0.77200000000000002</v>
      </c>
      <c r="R124" s="4">
        <v>0.77700000000000002</v>
      </c>
      <c r="S124" s="4">
        <v>0.78300000000000003</v>
      </c>
      <c r="T124" s="4">
        <v>0.78900000000000003</v>
      </c>
      <c r="U124" s="4">
        <v>0.79300000000000004</v>
      </c>
      <c r="V124" s="4">
        <v>0.78900000000000003</v>
      </c>
      <c r="W124" s="4">
        <v>0.78500000000000003</v>
      </c>
      <c r="X124" s="4">
        <v>0.77300000000000002</v>
      </c>
      <c r="Y124" s="5">
        <v>0.77200000000000002</v>
      </c>
      <c r="Z124" s="16" t="s">
        <v>570</v>
      </c>
      <c r="AA124" t="s">
        <v>505</v>
      </c>
      <c r="AB124">
        <v>85</v>
      </c>
      <c r="AC124">
        <f>LN(_xlfn.XLOOKUP(Sheet2!A124,DataSheet!$G$2:$G$267,DataSheet!$H$2:$H$267))</f>
        <v>9.1792168903019729</v>
      </c>
    </row>
    <row r="125" spans="1:29" x14ac:dyDescent="0.2">
      <c r="A125" s="6" t="s">
        <v>47</v>
      </c>
      <c r="B125" s="7" t="s">
        <v>48</v>
      </c>
      <c r="C125" s="8">
        <v>0.72099999999999997</v>
      </c>
      <c r="D125" s="8">
        <v>0.71799999999999997</v>
      </c>
      <c r="E125" s="8">
        <v>0.71799999999999997</v>
      </c>
      <c r="F125" s="8">
        <v>0.71799999999999997</v>
      </c>
      <c r="G125" s="8">
        <v>0.72299999999999998</v>
      </c>
      <c r="H125" s="8">
        <v>0.72399999999999998</v>
      </c>
      <c r="I125" s="8">
        <v>0.73099999999999998</v>
      </c>
      <c r="J125" s="8">
        <v>0.73</v>
      </c>
      <c r="K125" s="8">
        <v>0.74099999999999999</v>
      </c>
      <c r="L125" s="8">
        <v>0.73599999999999999</v>
      </c>
      <c r="M125" s="8">
        <v>0.73499999999999999</v>
      </c>
      <c r="N125" s="8">
        <v>0.72399999999999998</v>
      </c>
      <c r="O125" s="8">
        <v>0.72799999999999998</v>
      </c>
      <c r="P125" s="8">
        <v>0.72</v>
      </c>
      <c r="Q125" s="8">
        <v>0.72499999999999998</v>
      </c>
      <c r="R125" s="8">
        <v>0.71899999999999997</v>
      </c>
      <c r="S125" s="8">
        <v>0.72799999999999998</v>
      </c>
      <c r="T125" s="8">
        <v>0.70899999999999996</v>
      </c>
      <c r="U125" s="8">
        <v>0.74399999999999999</v>
      </c>
      <c r="V125" s="8">
        <v>0.745</v>
      </c>
      <c r="W125" s="8">
        <v>0.73799999999999999</v>
      </c>
      <c r="X125" s="8">
        <v>0.73699999999999999</v>
      </c>
      <c r="Y125" s="9">
        <v>0.74</v>
      </c>
      <c r="Z125" s="16" t="s">
        <v>570</v>
      </c>
      <c r="AA125" t="s">
        <v>505</v>
      </c>
      <c r="AB125">
        <v>92</v>
      </c>
      <c r="AC125">
        <f>LN(_xlfn.XLOOKUP(Sheet2!A125,DataSheet!$G$2:$G$267,DataSheet!$H$2:$H$267))</f>
        <v>9.1403106299103882</v>
      </c>
    </row>
    <row r="126" spans="1:29" x14ac:dyDescent="0.2">
      <c r="A126" s="6" t="s">
        <v>255</v>
      </c>
      <c r="B126" s="7" t="s">
        <v>256</v>
      </c>
      <c r="C126" s="8">
        <v>0.76</v>
      </c>
      <c r="D126" s="8">
        <v>0.76100000000000001</v>
      </c>
      <c r="E126" s="8">
        <v>0.76500000000000001</v>
      </c>
      <c r="F126" s="8">
        <v>0.76900000000000002</v>
      </c>
      <c r="G126" s="8">
        <v>0.77400000000000002</v>
      </c>
      <c r="H126" s="8">
        <v>0.77900000000000003</v>
      </c>
      <c r="I126" s="8">
        <v>0.78400000000000003</v>
      </c>
      <c r="J126" s="8">
        <v>0.78900000000000003</v>
      </c>
      <c r="K126" s="8">
        <v>0.79200000000000004</v>
      </c>
      <c r="L126" s="8">
        <v>0.79400000000000004</v>
      </c>
      <c r="M126" s="8">
        <v>0.79200000000000004</v>
      </c>
      <c r="N126" s="8">
        <v>0.79</v>
      </c>
      <c r="O126" s="8">
        <v>0.79300000000000004</v>
      </c>
      <c r="P126" s="8">
        <v>0.79300000000000004</v>
      </c>
      <c r="Q126" s="8">
        <v>0.79500000000000004</v>
      </c>
      <c r="R126" s="8">
        <v>0.79800000000000004</v>
      </c>
      <c r="S126" s="8">
        <v>0.80100000000000005</v>
      </c>
      <c r="T126" s="8">
        <v>0.80300000000000005</v>
      </c>
      <c r="U126" s="8">
        <v>0.80400000000000005</v>
      </c>
      <c r="V126" s="8">
        <v>0.80600000000000005</v>
      </c>
      <c r="W126" s="8">
        <v>0.80300000000000005</v>
      </c>
      <c r="X126" s="8">
        <v>0.80300000000000005</v>
      </c>
      <c r="Y126" s="9">
        <v>0.80900000000000005</v>
      </c>
      <c r="Z126" s="16" t="s">
        <v>570</v>
      </c>
      <c r="AA126" t="s">
        <v>505</v>
      </c>
      <c r="AB126">
        <v>95</v>
      </c>
      <c r="AC126">
        <f>LN(_xlfn.XLOOKUP(Sheet2!A126,DataSheet!$G$2:$G$267,DataSheet!$H$2:$H$267))</f>
        <v>10.101807069324481</v>
      </c>
    </row>
    <row r="127" spans="1:29" x14ac:dyDescent="0.2">
      <c r="A127" s="2" t="s">
        <v>33</v>
      </c>
      <c r="B127" s="3" t="s">
        <v>34</v>
      </c>
      <c r="C127" s="4">
        <v>0.65700000000000003</v>
      </c>
      <c r="D127" s="4">
        <v>0.66100000000000003</v>
      </c>
      <c r="E127" s="4">
        <v>0.67</v>
      </c>
      <c r="F127" s="4">
        <v>0.67900000000000005</v>
      </c>
      <c r="G127" s="4">
        <v>0.68500000000000005</v>
      </c>
      <c r="H127" s="4">
        <v>0.68200000000000005</v>
      </c>
      <c r="I127" s="4">
        <v>0.69699999999999995</v>
      </c>
      <c r="J127" s="4">
        <v>0.70399999999999996</v>
      </c>
      <c r="K127" s="4">
        <v>0.70899999999999996</v>
      </c>
      <c r="L127" s="4">
        <v>0.71499999999999997</v>
      </c>
      <c r="M127" s="4">
        <v>0.72</v>
      </c>
      <c r="N127" s="4">
        <v>0.71899999999999997</v>
      </c>
      <c r="O127" s="4">
        <v>0.72199999999999998</v>
      </c>
      <c r="P127" s="4">
        <v>0.72099999999999997</v>
      </c>
      <c r="Q127" s="4">
        <v>0.71599999999999997</v>
      </c>
      <c r="R127" s="4">
        <v>0.71399999999999997</v>
      </c>
      <c r="S127" s="4">
        <v>0.72</v>
      </c>
      <c r="T127" s="4">
        <v>0.71599999999999997</v>
      </c>
      <c r="U127" s="4">
        <v>0.71499999999999997</v>
      </c>
      <c r="V127" s="4">
        <v>0.71799999999999997</v>
      </c>
      <c r="W127" s="4">
        <v>0.70499999999999996</v>
      </c>
      <c r="X127" s="4">
        <v>0.69799999999999995</v>
      </c>
      <c r="Y127" s="5">
        <v>0.7</v>
      </c>
      <c r="Z127" s="16" t="s">
        <v>570</v>
      </c>
      <c r="AA127" t="s">
        <v>505</v>
      </c>
      <c r="AB127">
        <v>102</v>
      </c>
      <c r="AC127">
        <f>LN(_xlfn.XLOOKUP(Sheet2!A127,DataSheet!$G$2:$G$267,DataSheet!$H$2:$H$267))</f>
        <v>8.863363574336633</v>
      </c>
    </row>
    <row r="128" spans="1:29" x14ac:dyDescent="0.2">
      <c r="A128" s="6" t="s">
        <v>199</v>
      </c>
      <c r="B128" s="7" t="s">
        <v>200</v>
      </c>
      <c r="C128" s="8">
        <v>0.55300000000000005</v>
      </c>
      <c r="D128" s="8">
        <v>0.55700000000000005</v>
      </c>
      <c r="E128" s="8">
        <v>0.56100000000000005</v>
      </c>
      <c r="F128" s="8">
        <v>0.56499999999999995</v>
      </c>
      <c r="G128" s="8">
        <v>0.56999999999999995</v>
      </c>
      <c r="H128" s="8">
        <v>0.57499999999999996</v>
      </c>
      <c r="I128" s="8">
        <v>0.57899999999999996</v>
      </c>
      <c r="J128" s="8">
        <v>0.58399999999999996</v>
      </c>
      <c r="K128" s="8">
        <v>0.58899999999999997</v>
      </c>
      <c r="L128" s="8">
        <v>0.59199999999999997</v>
      </c>
      <c r="M128" s="8">
        <v>0.59599999999999997</v>
      </c>
      <c r="N128" s="8">
        <v>0.59799999999999998</v>
      </c>
      <c r="O128" s="8">
        <v>0.59599999999999997</v>
      </c>
      <c r="P128" s="8">
        <v>0.60199999999999998</v>
      </c>
      <c r="Q128" s="8">
        <v>0.60299999999999998</v>
      </c>
      <c r="R128" s="8">
        <v>0.61</v>
      </c>
      <c r="S128" s="8">
        <v>0.61499999999999999</v>
      </c>
      <c r="T128" s="8">
        <v>0.61399999999999999</v>
      </c>
      <c r="U128" s="8">
        <v>0.61399999999999999</v>
      </c>
      <c r="V128" s="8">
        <v>0.629</v>
      </c>
      <c r="W128" s="8">
        <v>0.621</v>
      </c>
      <c r="X128" s="8">
        <v>0.62</v>
      </c>
      <c r="Y128" s="9">
        <v>0.624</v>
      </c>
      <c r="Z128" s="16" t="s">
        <v>570</v>
      </c>
      <c r="AA128" t="s">
        <v>505</v>
      </c>
      <c r="AB128">
        <v>104</v>
      </c>
      <c r="AC128">
        <f>LN(_xlfn.XLOOKUP(Sheet2!A128,DataSheet!$G$2:$G$267,DataSheet!$H$2:$H$267))</f>
        <v>8.0074636234282632</v>
      </c>
    </row>
    <row r="129" spans="1:29" x14ac:dyDescent="0.2">
      <c r="A129" s="6" t="s">
        <v>371</v>
      </c>
      <c r="B129" s="7" t="s">
        <v>372</v>
      </c>
      <c r="C129" s="8">
        <v>0.89400000000000002</v>
      </c>
      <c r="D129" s="8">
        <v>0.89500000000000002</v>
      </c>
      <c r="E129" s="8">
        <v>0.89600000000000002</v>
      </c>
      <c r="F129" s="8">
        <v>0.89800000000000002</v>
      </c>
      <c r="G129" s="8">
        <v>0.90200000000000002</v>
      </c>
      <c r="H129" s="8">
        <v>0.90400000000000003</v>
      </c>
      <c r="I129" s="8">
        <v>0.90800000000000003</v>
      </c>
      <c r="J129" s="8">
        <v>0.91100000000000003</v>
      </c>
      <c r="K129" s="8">
        <v>0.91200000000000003</v>
      </c>
      <c r="L129" s="8">
        <v>0.91300000000000003</v>
      </c>
      <c r="M129" s="8">
        <v>0.91600000000000004</v>
      </c>
      <c r="N129" s="8">
        <v>0.91800000000000004</v>
      </c>
      <c r="O129" s="8">
        <v>0.92</v>
      </c>
      <c r="P129" s="8">
        <v>0.92200000000000004</v>
      </c>
      <c r="Q129" s="8">
        <v>0.92300000000000004</v>
      </c>
      <c r="R129" s="8">
        <v>0.92400000000000004</v>
      </c>
      <c r="S129" s="8">
        <v>0.92600000000000005</v>
      </c>
      <c r="T129" s="8">
        <v>0.92800000000000005</v>
      </c>
      <c r="U129" s="8">
        <v>0.93</v>
      </c>
      <c r="V129" s="8">
        <v>0.93300000000000005</v>
      </c>
      <c r="W129" s="8">
        <v>0.92300000000000004</v>
      </c>
      <c r="X129" s="8">
        <v>0.92100000000000004</v>
      </c>
      <c r="Y129" s="9">
        <v>0.92700000000000005</v>
      </c>
      <c r="Z129" t="s">
        <v>570</v>
      </c>
      <c r="AA129" t="s">
        <v>504</v>
      </c>
      <c r="AB129">
        <v>116</v>
      </c>
      <c r="AC129">
        <f>LN(_xlfn.XLOOKUP(Sheet2!A129,DataSheet!$G$2:$G$267,DataSheet!$H$2:$H$267))</f>
        <v>11.247099451256936</v>
      </c>
    </row>
    <row r="130" spans="1:29" x14ac:dyDescent="0.2">
      <c r="A130" s="6" t="s">
        <v>363</v>
      </c>
      <c r="B130" s="7" t="s">
        <v>364</v>
      </c>
      <c r="C130" s="8">
        <v>0.70799999999999996</v>
      </c>
      <c r="D130" s="8">
        <v>0.71599999999999997</v>
      </c>
      <c r="E130" s="8">
        <v>0.72699999999999998</v>
      </c>
      <c r="F130" s="8">
        <v>0.73299999999999998</v>
      </c>
      <c r="G130" s="8">
        <v>0.747</v>
      </c>
      <c r="H130" s="8">
        <v>0.753</v>
      </c>
      <c r="I130" s="8">
        <v>0.76200000000000001</v>
      </c>
      <c r="J130" s="8">
        <v>0.76800000000000002</v>
      </c>
      <c r="K130" s="8">
        <v>0.77100000000000002</v>
      </c>
      <c r="L130" s="8">
        <v>0.78200000000000003</v>
      </c>
      <c r="M130" s="8">
        <v>0.78500000000000003</v>
      </c>
      <c r="N130" s="8">
        <v>0.78800000000000003</v>
      </c>
      <c r="O130" s="8">
        <v>0.79400000000000004</v>
      </c>
      <c r="P130" s="8">
        <v>0.80100000000000005</v>
      </c>
      <c r="Q130" s="8">
        <v>0.80600000000000005</v>
      </c>
      <c r="R130" s="8">
        <v>0.81200000000000006</v>
      </c>
      <c r="S130" s="8">
        <v>0.81</v>
      </c>
      <c r="T130" s="8">
        <v>0.81100000000000005</v>
      </c>
      <c r="U130" s="8">
        <v>0.80900000000000005</v>
      </c>
      <c r="V130" s="8">
        <v>0.81299999999999994</v>
      </c>
      <c r="W130" s="8">
        <v>0.81499999999999995</v>
      </c>
      <c r="X130" s="8">
        <v>0.80400000000000005</v>
      </c>
      <c r="Y130" s="9">
        <v>0.81399999999999995</v>
      </c>
      <c r="Z130" s="16" t="s">
        <v>570</v>
      </c>
      <c r="AA130" t="s">
        <v>505</v>
      </c>
      <c r="AB130">
        <v>117</v>
      </c>
      <c r="AC130">
        <f>LN(_xlfn.XLOOKUP(Sheet2!A130,DataSheet!$G$2:$G$267,DataSheet!$H$2:$H$267))</f>
        <v>9.9403265952241178</v>
      </c>
    </row>
    <row r="131" spans="1:29" x14ac:dyDescent="0.2">
      <c r="A131" s="2" t="s">
        <v>45</v>
      </c>
      <c r="B131" s="3" t="s">
        <v>46</v>
      </c>
      <c r="C131" s="4">
        <v>0.69399999999999995</v>
      </c>
      <c r="D131" s="4">
        <v>0.70099999999999996</v>
      </c>
      <c r="E131" s="4">
        <v>0.70599999999999996</v>
      </c>
      <c r="F131" s="4">
        <v>0.71399999999999997</v>
      </c>
      <c r="G131" s="4">
        <v>0.72799999999999998</v>
      </c>
      <c r="H131" s="4">
        <v>0.74099999999999999</v>
      </c>
      <c r="I131" s="4">
        <v>0.76100000000000001</v>
      </c>
      <c r="J131" s="4">
        <v>0.77500000000000002</v>
      </c>
      <c r="K131" s="4">
        <v>0.78400000000000003</v>
      </c>
      <c r="L131" s="4">
        <v>0.78400000000000003</v>
      </c>
      <c r="M131" s="4">
        <v>0.77900000000000003</v>
      </c>
      <c r="N131" s="4">
        <v>0.77600000000000002</v>
      </c>
      <c r="O131" s="4">
        <v>0.77100000000000002</v>
      </c>
      <c r="P131" s="4">
        <v>0.76600000000000001</v>
      </c>
      <c r="Q131" s="4">
        <v>0.76600000000000001</v>
      </c>
      <c r="R131" s="4">
        <v>0.76500000000000001</v>
      </c>
      <c r="S131" s="4">
        <v>0.76300000000000001</v>
      </c>
      <c r="T131" s="4">
        <v>0.76400000000000001</v>
      </c>
      <c r="U131" s="4">
        <v>0.76500000000000001</v>
      </c>
      <c r="V131" s="4">
        <v>0.76600000000000001</v>
      </c>
      <c r="W131" s="4">
        <v>0.75900000000000001</v>
      </c>
      <c r="X131" s="4">
        <v>0.74199999999999999</v>
      </c>
      <c r="Y131" s="5">
        <v>0.76400000000000001</v>
      </c>
      <c r="Z131" s="16" t="s">
        <v>570</v>
      </c>
      <c r="AA131" t="s">
        <v>505</v>
      </c>
      <c r="AB131">
        <v>118</v>
      </c>
      <c r="AC131" t="e">
        <f>LN(_xlfn.XLOOKUP(Sheet2!A131,DataSheet!$G$2:$G$267,DataSheet!$H$2:$H$267))</f>
        <v>#NUM!</v>
      </c>
    </row>
    <row r="132" spans="1:29" x14ac:dyDescent="0.2">
      <c r="A132" s="2" t="s">
        <v>49</v>
      </c>
      <c r="B132" s="3" t="s">
        <v>50</v>
      </c>
      <c r="C132" s="4">
        <v>0.64600000000000002</v>
      </c>
      <c r="D132" s="4">
        <v>0.65100000000000002</v>
      </c>
      <c r="E132" s="4">
        <v>0.65700000000000003</v>
      </c>
      <c r="F132" s="4">
        <v>0.66</v>
      </c>
      <c r="G132" s="4">
        <v>0.66300000000000003</v>
      </c>
      <c r="H132" s="4">
        <v>0.67400000000000004</v>
      </c>
      <c r="I132" s="4">
        <v>0.68400000000000005</v>
      </c>
      <c r="J132" s="4">
        <v>0.69199999999999995</v>
      </c>
      <c r="K132" s="4">
        <v>0.69699999999999995</v>
      </c>
      <c r="L132" s="4">
        <v>0.70099999999999996</v>
      </c>
      <c r="M132" s="4">
        <v>0.70699999999999996</v>
      </c>
      <c r="N132" s="4">
        <v>0.71199999999999997</v>
      </c>
      <c r="O132" s="4">
        <v>0.71799999999999997</v>
      </c>
      <c r="P132" s="4">
        <v>0.72199999999999998</v>
      </c>
      <c r="Q132" s="4">
        <v>0.72799999999999998</v>
      </c>
      <c r="R132" s="4">
        <v>0.73899999999999999</v>
      </c>
      <c r="S132" s="4">
        <v>0.75900000000000001</v>
      </c>
      <c r="T132" s="4">
        <v>0.76100000000000001</v>
      </c>
      <c r="U132" s="4">
        <v>0.76300000000000001</v>
      </c>
      <c r="V132" s="4">
        <v>0.76500000000000001</v>
      </c>
      <c r="W132" s="4">
        <v>0.76</v>
      </c>
      <c r="X132" s="4">
        <v>0.75600000000000001</v>
      </c>
      <c r="Y132" s="5">
        <v>0.76600000000000001</v>
      </c>
      <c r="Z132" s="16" t="s">
        <v>570</v>
      </c>
      <c r="AA132" t="s">
        <v>505</v>
      </c>
      <c r="AB132">
        <v>122</v>
      </c>
      <c r="AC132">
        <f>LN(_xlfn.XLOOKUP(Sheet2!A132,DataSheet!$G$2:$G$267,DataSheet!$H$2:$H$267))</f>
        <v>9.2207109016621676</v>
      </c>
    </row>
    <row r="133" spans="1:29" x14ac:dyDescent="0.2">
      <c r="A133" s="2" t="s">
        <v>265</v>
      </c>
      <c r="B133" s="3" t="s">
        <v>266</v>
      </c>
      <c r="C133" s="4">
        <v>0.70899999999999996</v>
      </c>
      <c r="D133" s="4">
        <v>0.71399999999999997</v>
      </c>
      <c r="E133" s="4">
        <v>0.72099999999999997</v>
      </c>
      <c r="F133" s="4">
        <v>0.72599999999999998</v>
      </c>
      <c r="G133" s="4">
        <v>0.73099999999999998</v>
      </c>
      <c r="H133" s="4">
        <v>0.73899999999999999</v>
      </c>
      <c r="I133" s="4">
        <v>0.745</v>
      </c>
      <c r="J133" s="4">
        <v>0.754</v>
      </c>
      <c r="K133" s="4">
        <v>0.76200000000000001</v>
      </c>
      <c r="L133" s="4">
        <v>0.76500000000000001</v>
      </c>
      <c r="M133" s="4">
        <v>0.76900000000000002</v>
      </c>
      <c r="N133" s="4">
        <v>0.77800000000000002</v>
      </c>
      <c r="O133" s="4">
        <v>0.78200000000000003</v>
      </c>
      <c r="P133" s="4">
        <v>0.78700000000000003</v>
      </c>
      <c r="Q133" s="4">
        <v>0.79</v>
      </c>
      <c r="R133" s="4">
        <v>0.79200000000000004</v>
      </c>
      <c r="S133" s="4">
        <v>0.79600000000000004</v>
      </c>
      <c r="T133" s="4">
        <v>0.8</v>
      </c>
      <c r="U133" s="4">
        <v>0.80400000000000005</v>
      </c>
      <c r="V133" s="4">
        <v>0.81100000000000005</v>
      </c>
      <c r="W133" s="4">
        <v>0.81100000000000005</v>
      </c>
      <c r="X133" s="4">
        <v>0.80400000000000005</v>
      </c>
      <c r="Y133" s="5">
        <v>0.80600000000000005</v>
      </c>
      <c r="Z133" s="16" t="s">
        <v>570</v>
      </c>
      <c r="AA133" t="s">
        <v>505</v>
      </c>
      <c r="AB133">
        <v>123</v>
      </c>
      <c r="AC133">
        <f>LN(_xlfn.XLOOKUP(Sheet2!A133,DataSheet!$G$2:$G$267,DataSheet!$H$2:$H$267))</f>
        <v>9.5197277311074942</v>
      </c>
    </row>
    <row r="134" spans="1:29" x14ac:dyDescent="0.2">
      <c r="A134" s="6" t="s">
        <v>87</v>
      </c>
      <c r="B134" s="7" t="s">
        <v>88</v>
      </c>
      <c r="C134" s="8">
        <v>0.747</v>
      </c>
      <c r="D134" s="8">
        <v>0.754</v>
      </c>
      <c r="E134" s="8">
        <v>0.76</v>
      </c>
      <c r="F134" s="8">
        <v>0.76500000000000001</v>
      </c>
      <c r="G134" s="8">
        <v>0.76800000000000002</v>
      </c>
      <c r="H134" s="8">
        <v>0.77900000000000003</v>
      </c>
      <c r="I134" s="8">
        <v>0.78</v>
      </c>
      <c r="J134" s="8">
        <v>0.78200000000000003</v>
      </c>
      <c r="K134" s="8">
        <v>0.78</v>
      </c>
      <c r="L134" s="8">
        <v>0.77700000000000002</v>
      </c>
      <c r="M134" s="8">
        <v>0.77500000000000002</v>
      </c>
      <c r="N134" s="8">
        <v>0.77800000000000002</v>
      </c>
      <c r="O134" s="8">
        <v>0.78</v>
      </c>
      <c r="P134" s="8">
        <v>0.77600000000000002</v>
      </c>
      <c r="Q134" s="8">
        <v>0.77700000000000002</v>
      </c>
      <c r="R134" s="8">
        <v>0.78200000000000003</v>
      </c>
      <c r="S134" s="8">
        <v>0.78400000000000003</v>
      </c>
      <c r="T134" s="8">
        <v>0.78600000000000003</v>
      </c>
      <c r="U134" s="8">
        <v>0.78800000000000003</v>
      </c>
      <c r="V134" s="8">
        <v>0.79200000000000004</v>
      </c>
      <c r="W134" s="8">
        <v>0.79400000000000004</v>
      </c>
      <c r="X134" s="8">
        <v>0.80200000000000005</v>
      </c>
      <c r="Y134" s="9">
        <v>0.79700000000000004</v>
      </c>
      <c r="Z134" t="s">
        <v>382</v>
      </c>
      <c r="AA134" t="s">
        <v>505</v>
      </c>
      <c r="AB134">
        <v>8</v>
      </c>
      <c r="AC134">
        <f>LN(_xlfn.XLOOKUP(Sheet2!A134,DataSheet!$G$2:$G$267,DataSheet!$H$2:$H$267))</f>
        <v>9.5273210404887188</v>
      </c>
    </row>
    <row r="135" spans="1:29" x14ac:dyDescent="0.2">
      <c r="A135" s="2" t="s">
        <v>105</v>
      </c>
      <c r="B135" s="3" t="s">
        <v>106</v>
      </c>
      <c r="C135" s="4">
        <v>0.67900000000000005</v>
      </c>
      <c r="D135" s="4">
        <v>0.68200000000000005</v>
      </c>
      <c r="E135" s="4">
        <v>0.68600000000000005</v>
      </c>
      <c r="F135" s="4">
        <v>0.69299999999999995</v>
      </c>
      <c r="G135" s="4">
        <v>0.69399999999999995</v>
      </c>
      <c r="H135" s="4">
        <v>0.69499999999999995</v>
      </c>
      <c r="I135" s="4">
        <v>0.69599999999999995</v>
      </c>
      <c r="J135" s="4">
        <v>0.69799999999999995</v>
      </c>
      <c r="K135" s="4">
        <v>0.70399999999999996</v>
      </c>
      <c r="L135" s="4">
        <v>0.70399999999999996</v>
      </c>
      <c r="M135" s="4">
        <v>0.70899999999999996</v>
      </c>
      <c r="N135" s="4">
        <v>0.71599999999999997</v>
      </c>
      <c r="O135" s="4">
        <v>0.71799999999999997</v>
      </c>
      <c r="P135" s="4">
        <v>0.71899999999999997</v>
      </c>
      <c r="Q135" s="4">
        <v>0.72099999999999997</v>
      </c>
      <c r="R135" s="4">
        <v>0.72299999999999998</v>
      </c>
      <c r="S135" s="4">
        <v>0.72799999999999998</v>
      </c>
      <c r="T135" s="4">
        <v>0.73399999999999999</v>
      </c>
      <c r="U135" s="4">
        <v>0.73699999999999999</v>
      </c>
      <c r="V135" s="4">
        <v>0.74</v>
      </c>
      <c r="W135" s="4">
        <v>0.74199999999999999</v>
      </c>
      <c r="X135" s="4">
        <v>0.73799999999999999</v>
      </c>
      <c r="Y135" s="5">
        <v>0.73899999999999999</v>
      </c>
      <c r="Z135" t="s">
        <v>382</v>
      </c>
      <c r="AA135" t="s">
        <v>505</v>
      </c>
      <c r="AB135">
        <v>21</v>
      </c>
      <c r="AC135">
        <f>LN(_xlfn.XLOOKUP(Sheet2!A135,DataSheet!$G$2:$G$267,DataSheet!$H$2:$H$267))</f>
        <v>8.5750883353594602</v>
      </c>
    </row>
    <row r="136" spans="1:29" x14ac:dyDescent="0.2">
      <c r="A136" s="6" t="s">
        <v>211</v>
      </c>
      <c r="B136" s="7" t="s">
        <v>212</v>
      </c>
      <c r="C136" s="8">
        <v>0.63700000000000001</v>
      </c>
      <c r="D136" s="8">
        <v>0.64100000000000001</v>
      </c>
      <c r="E136" s="8">
        <v>0.63600000000000001</v>
      </c>
      <c r="F136" s="8">
        <v>0.64300000000000002</v>
      </c>
      <c r="G136" s="8">
        <v>0.64100000000000001</v>
      </c>
      <c r="H136" s="8">
        <v>0.64200000000000002</v>
      </c>
      <c r="I136" s="8">
        <v>0.64300000000000002</v>
      </c>
      <c r="J136" s="8">
        <v>0.64200000000000002</v>
      </c>
      <c r="K136" s="8">
        <v>0.64100000000000001</v>
      </c>
      <c r="L136" s="8">
        <v>0.64200000000000002</v>
      </c>
      <c r="M136" s="8">
        <v>0.64400000000000002</v>
      </c>
      <c r="N136" s="8">
        <v>0.64600000000000002</v>
      </c>
      <c r="O136" s="8">
        <v>0.64400000000000002</v>
      </c>
      <c r="P136" s="8">
        <v>0.64200000000000002</v>
      </c>
      <c r="Q136" s="8">
        <v>0.64</v>
      </c>
      <c r="R136" s="8">
        <v>0.64200000000000002</v>
      </c>
      <c r="S136" s="8">
        <v>0.64300000000000002</v>
      </c>
      <c r="T136" s="8">
        <v>0.64300000000000002</v>
      </c>
      <c r="U136" s="8">
        <v>0.64200000000000002</v>
      </c>
      <c r="V136" s="8">
        <v>0.64</v>
      </c>
      <c r="W136" s="8">
        <v>0.63600000000000001</v>
      </c>
      <c r="X136" s="8">
        <v>0.63400000000000001</v>
      </c>
      <c r="Y136" s="9">
        <v>0.63400000000000001</v>
      </c>
      <c r="Z136" t="s">
        <v>382</v>
      </c>
      <c r="AA136" t="s">
        <v>505</v>
      </c>
      <c r="AB136">
        <v>23</v>
      </c>
      <c r="AC136">
        <f>LN(_xlfn.XLOOKUP(Sheet2!A136,DataSheet!$G$2:$G$267,DataSheet!$H$2:$H$267))</f>
        <v>8.2188207183805631</v>
      </c>
    </row>
    <row r="137" spans="1:29" x14ac:dyDescent="0.2">
      <c r="A137" s="6" t="s">
        <v>55</v>
      </c>
      <c r="B137" s="7" t="s">
        <v>56</v>
      </c>
      <c r="C137" s="8">
        <v>0.66900000000000004</v>
      </c>
      <c r="D137" s="8">
        <v>0.67</v>
      </c>
      <c r="E137" s="8">
        <v>0.67100000000000004</v>
      </c>
      <c r="F137" s="8">
        <v>0.67500000000000004</v>
      </c>
      <c r="G137" s="8">
        <v>0.68200000000000005</v>
      </c>
      <c r="H137" s="8">
        <v>0.68400000000000005</v>
      </c>
      <c r="I137" s="8">
        <v>0.68700000000000006</v>
      </c>
      <c r="J137" s="8">
        <v>0.68899999999999995</v>
      </c>
      <c r="K137" s="8">
        <v>0.69299999999999995</v>
      </c>
      <c r="L137" s="8">
        <v>0.69599999999999995</v>
      </c>
      <c r="M137" s="8">
        <v>0.69899999999999995</v>
      </c>
      <c r="N137" s="8">
        <v>0.70399999999999996</v>
      </c>
      <c r="O137" s="8">
        <v>0.70699999999999996</v>
      </c>
      <c r="P137" s="8">
        <v>0.71199999999999997</v>
      </c>
      <c r="Q137" s="8">
        <v>0.71499999999999997</v>
      </c>
      <c r="R137" s="8">
        <v>0.71599999999999997</v>
      </c>
      <c r="S137" s="8">
        <v>0.72099999999999997</v>
      </c>
      <c r="T137" s="8">
        <v>0.72799999999999998</v>
      </c>
      <c r="U137" s="8">
        <v>0.73099999999999998</v>
      </c>
      <c r="V137" s="8">
        <v>0.73</v>
      </c>
      <c r="W137" s="8">
        <v>0.72199999999999998</v>
      </c>
      <c r="X137" s="8">
        <v>0.71499999999999997</v>
      </c>
      <c r="Y137" s="9">
        <v>0.72899999999999998</v>
      </c>
      <c r="Z137" t="s">
        <v>382</v>
      </c>
      <c r="AA137" t="s">
        <v>505</v>
      </c>
      <c r="AB137">
        <v>42</v>
      </c>
      <c r="AC137">
        <f>LN(_xlfn.XLOOKUP(Sheet2!A137,DataSheet!$G$2:$G$267,DataSheet!$H$2:$H$267))</f>
        <v>8.5967658046126783</v>
      </c>
    </row>
    <row r="138" spans="1:29" x14ac:dyDescent="0.2">
      <c r="A138" s="6" t="s">
        <v>323</v>
      </c>
      <c r="B138" s="7" t="s">
        <v>324</v>
      </c>
      <c r="C138" s="8">
        <v>0.89400000000000002</v>
      </c>
      <c r="D138" s="8">
        <v>0.9</v>
      </c>
      <c r="E138" s="8">
        <v>0.90400000000000003</v>
      </c>
      <c r="F138" s="8">
        <v>0.90800000000000003</v>
      </c>
      <c r="G138" s="8">
        <v>0.91200000000000003</v>
      </c>
      <c r="H138" s="8">
        <v>0.91700000000000004</v>
      </c>
      <c r="I138" s="8">
        <v>0.91800000000000004</v>
      </c>
      <c r="J138" s="8">
        <v>0.91900000000000004</v>
      </c>
      <c r="K138" s="8">
        <v>0.91900000000000004</v>
      </c>
      <c r="L138" s="8">
        <v>0.92200000000000004</v>
      </c>
      <c r="M138" s="8">
        <v>0.92400000000000004</v>
      </c>
      <c r="N138" s="8">
        <v>0.92400000000000004</v>
      </c>
      <c r="O138" s="8">
        <v>0.92700000000000005</v>
      </c>
      <c r="P138" s="8">
        <v>0.93</v>
      </c>
      <c r="Q138" s="8">
        <v>0.93100000000000005</v>
      </c>
      <c r="R138" s="8">
        <v>0.93300000000000005</v>
      </c>
      <c r="S138" s="8">
        <v>0.93500000000000005</v>
      </c>
      <c r="T138" s="8">
        <v>0.93500000000000005</v>
      </c>
      <c r="U138" s="8">
        <v>0.93600000000000005</v>
      </c>
      <c r="V138" s="8">
        <v>0.93700000000000006</v>
      </c>
      <c r="W138" s="8">
        <v>0.93500000000000005</v>
      </c>
      <c r="X138" s="8">
        <v>0.93600000000000005</v>
      </c>
      <c r="Y138" s="9">
        <v>0.93899999999999995</v>
      </c>
      <c r="Z138" t="s">
        <v>382</v>
      </c>
      <c r="AA138" t="s">
        <v>504</v>
      </c>
      <c r="AB138">
        <v>49</v>
      </c>
      <c r="AC138">
        <f>LN(_xlfn.XLOOKUP(Sheet2!A138,DataSheet!$G$2:$G$267,DataSheet!$H$2:$H$267))</f>
        <v>10.801608387084805</v>
      </c>
    </row>
    <row r="139" spans="1:29" x14ac:dyDescent="0.2">
      <c r="A139" s="6" t="s">
        <v>223</v>
      </c>
      <c r="B139" s="7" t="s">
        <v>224</v>
      </c>
      <c r="C139" s="8">
        <v>0.45600000000000002</v>
      </c>
      <c r="D139" s="8">
        <v>0.45900000000000002</v>
      </c>
      <c r="E139" s="8">
        <v>0.46200000000000002</v>
      </c>
      <c r="F139" s="8">
        <v>0.46700000000000003</v>
      </c>
      <c r="G139" s="8">
        <v>0.46500000000000002</v>
      </c>
      <c r="H139" s="8">
        <v>0.46899999999999997</v>
      </c>
      <c r="I139" s="8">
        <v>0.47099999999999997</v>
      </c>
      <c r="J139" s="8">
        <v>0.47899999999999998</v>
      </c>
      <c r="K139" s="8">
        <v>0.48399999999999999</v>
      </c>
      <c r="L139" s="8">
        <v>0.48899999999999999</v>
      </c>
      <c r="M139" s="8">
        <v>0.497</v>
      </c>
      <c r="N139" s="8">
        <v>0.502</v>
      </c>
      <c r="O139" s="8">
        <v>0.51</v>
      </c>
      <c r="P139" s="8">
        <v>0.51600000000000001</v>
      </c>
      <c r="Q139" s="8">
        <v>0.53100000000000003</v>
      </c>
      <c r="R139" s="8">
        <v>0.54</v>
      </c>
      <c r="S139" s="8">
        <v>0.54700000000000004</v>
      </c>
      <c r="T139" s="8">
        <v>0.55300000000000005</v>
      </c>
      <c r="U139" s="8">
        <v>0.55600000000000005</v>
      </c>
      <c r="V139" s="8">
        <v>0.56200000000000006</v>
      </c>
      <c r="W139" s="8">
        <v>0.56699999999999995</v>
      </c>
      <c r="X139" s="8">
        <v>0.56399999999999995</v>
      </c>
      <c r="Y139" s="9">
        <v>0.56799999999999995</v>
      </c>
      <c r="Z139" t="s">
        <v>382</v>
      </c>
      <c r="AA139" t="s">
        <v>505</v>
      </c>
      <c r="AB139">
        <v>55</v>
      </c>
      <c r="AC139">
        <f>LN(_xlfn.XLOOKUP(Sheet2!A139,DataSheet!$G$2:$G$267,DataSheet!$H$2:$H$267))</f>
        <v>8.0398957275127696</v>
      </c>
    </row>
    <row r="140" spans="1:29" x14ac:dyDescent="0.2">
      <c r="A140" s="6" t="s">
        <v>235</v>
      </c>
      <c r="B140" s="7" t="s">
        <v>236</v>
      </c>
      <c r="C140" s="8">
        <v>0.59899999999999998</v>
      </c>
      <c r="D140" s="8">
        <v>0.61</v>
      </c>
      <c r="E140" s="8">
        <v>0.622</v>
      </c>
      <c r="F140" s="8">
        <v>0.60799999999999998</v>
      </c>
      <c r="G140" s="8">
        <v>0.61399999999999999</v>
      </c>
      <c r="H140" s="8">
        <v>0.61399999999999999</v>
      </c>
      <c r="I140" s="8">
        <v>0.61599999999999999</v>
      </c>
      <c r="J140" s="8">
        <v>0.61799999999999999</v>
      </c>
      <c r="K140" s="8">
        <v>0.624</v>
      </c>
      <c r="L140" s="8">
        <v>0.622</v>
      </c>
      <c r="M140" s="8">
        <v>0.623</v>
      </c>
      <c r="N140" s="8">
        <v>0.623</v>
      </c>
      <c r="O140" s="8">
        <v>0.63100000000000001</v>
      </c>
      <c r="P140" s="8">
        <v>0.63700000000000001</v>
      </c>
      <c r="Q140" s="8">
        <v>0.63700000000000001</v>
      </c>
      <c r="R140" s="8">
        <v>0.65600000000000003</v>
      </c>
      <c r="S140" s="8">
        <v>0.65100000000000002</v>
      </c>
      <c r="T140" s="8">
        <v>0.65100000000000002</v>
      </c>
      <c r="U140" s="8">
        <v>0.66</v>
      </c>
      <c r="V140" s="8">
        <v>0.65400000000000003</v>
      </c>
      <c r="W140" s="8">
        <v>0.65500000000000003</v>
      </c>
      <c r="X140" s="8">
        <v>0.65300000000000002</v>
      </c>
      <c r="Y140" s="9">
        <v>0.65300000000000002</v>
      </c>
      <c r="Z140" t="s">
        <v>382</v>
      </c>
      <c r="AA140" t="s">
        <v>505</v>
      </c>
      <c r="AB140">
        <v>60</v>
      </c>
      <c r="AC140">
        <f>LN(_xlfn.XLOOKUP(Sheet2!A140,DataSheet!$G$2:$G$267,DataSheet!$H$2:$H$267))</f>
        <v>8.6846256655579968</v>
      </c>
    </row>
    <row r="141" spans="1:29" x14ac:dyDescent="0.2">
      <c r="A141" s="6" t="s">
        <v>99</v>
      </c>
      <c r="B141" s="7" t="s">
        <v>100</v>
      </c>
      <c r="C141" s="8">
        <v>0.67200000000000004</v>
      </c>
      <c r="D141" s="8">
        <v>0.67900000000000005</v>
      </c>
      <c r="E141" s="8">
        <v>0.67800000000000005</v>
      </c>
      <c r="F141" s="8">
        <v>0.68300000000000005</v>
      </c>
      <c r="G141" s="8">
        <v>0.68799999999999994</v>
      </c>
      <c r="H141" s="8">
        <v>0.69199999999999995</v>
      </c>
      <c r="I141" s="8">
        <v>0.69499999999999995</v>
      </c>
      <c r="J141" s="8">
        <v>0.7</v>
      </c>
      <c r="K141" s="8">
        <v>0.70199999999999996</v>
      </c>
      <c r="L141" s="8">
        <v>0.69299999999999995</v>
      </c>
      <c r="M141" s="8">
        <v>0.70399999999999996</v>
      </c>
      <c r="N141" s="8">
        <v>0.70599999999999996</v>
      </c>
      <c r="O141" s="8">
        <v>0.70299999999999996</v>
      </c>
      <c r="P141" s="8">
        <v>0.70399999999999996</v>
      </c>
      <c r="Q141" s="8">
        <v>0.70699999999999996</v>
      </c>
      <c r="R141" s="8">
        <v>0.71</v>
      </c>
      <c r="S141" s="8">
        <v>0.71399999999999997</v>
      </c>
      <c r="T141" s="8">
        <v>0.71399999999999997</v>
      </c>
      <c r="U141" s="8">
        <v>0.71299999999999997</v>
      </c>
      <c r="V141" s="8">
        <v>0.71199999999999997</v>
      </c>
      <c r="W141" s="8">
        <v>0.71199999999999997</v>
      </c>
      <c r="X141" s="8">
        <v>0.70799999999999996</v>
      </c>
      <c r="Y141" s="9">
        <v>0.70199999999999996</v>
      </c>
      <c r="Z141" t="s">
        <v>382</v>
      </c>
      <c r="AA141" t="s">
        <v>505</v>
      </c>
      <c r="AB141">
        <v>65</v>
      </c>
      <c r="AC141">
        <f>LN(_xlfn.XLOOKUP(Sheet2!A141,DataSheet!$G$2:$G$267,DataSheet!$H$2:$H$267))</f>
        <v>8.3266250480042991</v>
      </c>
    </row>
    <row r="142" spans="1:29" x14ac:dyDescent="0.2">
      <c r="A142" s="6" t="s">
        <v>227</v>
      </c>
      <c r="B142" s="7" t="s">
        <v>228</v>
      </c>
      <c r="C142" s="8">
        <v>0.48799999999999999</v>
      </c>
      <c r="D142" s="8">
        <v>0.49199999999999999</v>
      </c>
      <c r="E142" s="8">
        <v>0.497</v>
      </c>
      <c r="F142" s="8">
        <v>0.503</v>
      </c>
      <c r="G142" s="8">
        <v>0.51</v>
      </c>
      <c r="H142" s="8">
        <v>0.51600000000000001</v>
      </c>
      <c r="I142" s="8">
        <v>0.52300000000000002</v>
      </c>
      <c r="J142" s="8">
        <v>0.52400000000000002</v>
      </c>
      <c r="K142" s="8">
        <v>0.53300000000000003</v>
      </c>
      <c r="L142" s="8">
        <v>0.54</v>
      </c>
      <c r="M142" s="8">
        <v>0.55300000000000005</v>
      </c>
      <c r="N142" s="8">
        <v>0.55700000000000005</v>
      </c>
      <c r="O142" s="8">
        <v>0.55800000000000005</v>
      </c>
      <c r="P142" s="8">
        <v>0.56299999999999994</v>
      </c>
      <c r="Q142" s="8">
        <v>0.56200000000000006</v>
      </c>
      <c r="R142" s="8">
        <v>0.56200000000000006</v>
      </c>
      <c r="S142" s="8">
        <v>0.56399999999999995</v>
      </c>
      <c r="T142" s="8">
        <v>0.56599999999999995</v>
      </c>
      <c r="U142" s="8">
        <v>0.56799999999999995</v>
      </c>
      <c r="V142" s="8">
        <v>0.56799999999999995</v>
      </c>
      <c r="W142" s="8">
        <v>0.56599999999999995</v>
      </c>
      <c r="X142" s="8">
        <v>0.56399999999999995</v>
      </c>
      <c r="Y142" s="9">
        <v>0.56200000000000006</v>
      </c>
      <c r="Z142" t="s">
        <v>382</v>
      </c>
      <c r="AA142" t="s">
        <v>505</v>
      </c>
      <c r="AB142">
        <v>142</v>
      </c>
      <c r="AC142">
        <f>LN(_xlfn.XLOOKUP(Sheet2!A142,DataSheet!$G$2:$G$267,DataSheet!$H$2:$H$267))</f>
        <v>7.5378460608515425</v>
      </c>
    </row>
    <row r="143" spans="1:29" x14ac:dyDescent="0.2">
      <c r="A143" s="2" t="s">
        <v>373</v>
      </c>
      <c r="B143" s="3" t="s">
        <v>374</v>
      </c>
      <c r="C143" s="4">
        <v>0.754</v>
      </c>
      <c r="D143" s="4">
        <v>0.76100000000000001</v>
      </c>
      <c r="E143" s="4">
        <v>0.76500000000000001</v>
      </c>
      <c r="F143" s="4">
        <v>0.77100000000000002</v>
      </c>
      <c r="G143" s="4">
        <v>0.77</v>
      </c>
      <c r="H143" s="4">
        <v>0.76800000000000002</v>
      </c>
      <c r="I143" s="4">
        <v>0.76700000000000002</v>
      </c>
      <c r="J143" s="4">
        <v>0.76900000000000002</v>
      </c>
      <c r="K143" s="4">
        <v>0.77300000000000002</v>
      </c>
      <c r="L143" s="4">
        <v>0.77600000000000002</v>
      </c>
      <c r="M143" s="4">
        <v>0.78500000000000003</v>
      </c>
      <c r="N143" s="4">
        <v>0.79100000000000004</v>
      </c>
      <c r="O143" s="4">
        <v>0.79400000000000004</v>
      </c>
      <c r="P143" s="4">
        <v>0.80200000000000005</v>
      </c>
      <c r="Q143" s="4">
        <v>0.80500000000000005</v>
      </c>
      <c r="R143" s="4">
        <v>0.80700000000000005</v>
      </c>
      <c r="S143" s="4">
        <v>0.81100000000000005</v>
      </c>
      <c r="T143" s="4">
        <v>0.81499999999999995</v>
      </c>
      <c r="U143" s="4">
        <v>0.81499999999999995</v>
      </c>
      <c r="V143" s="4">
        <v>0.81799999999999995</v>
      </c>
      <c r="W143" s="4">
        <v>0.82</v>
      </c>
      <c r="X143" s="4">
        <v>0.81399999999999995</v>
      </c>
      <c r="Y143" s="5">
        <v>0.83</v>
      </c>
      <c r="Z143" t="s">
        <v>569</v>
      </c>
      <c r="AA143" t="s">
        <v>505</v>
      </c>
      <c r="AB143">
        <v>26</v>
      </c>
      <c r="AC143">
        <f>LN(_xlfn.XLOOKUP(Sheet2!A143,DataSheet!$G$2:$G$267,DataSheet!$H$2:$H$267))</f>
        <v>9.9436027981682127</v>
      </c>
    </row>
    <row r="144" spans="1:29" x14ac:dyDescent="0.2">
      <c r="A144" s="6" t="s">
        <v>91</v>
      </c>
      <c r="B144" s="7" t="s">
        <v>92</v>
      </c>
      <c r="C144" s="8">
        <v>0.67500000000000004</v>
      </c>
      <c r="D144" s="8">
        <v>0.68300000000000005</v>
      </c>
      <c r="E144" s="8">
        <v>0.68400000000000005</v>
      </c>
      <c r="F144" s="8">
        <v>0.68300000000000005</v>
      </c>
      <c r="G144" s="8">
        <v>0.69</v>
      </c>
      <c r="H144" s="8">
        <v>0.68500000000000005</v>
      </c>
      <c r="I144" s="8">
        <v>0.69</v>
      </c>
      <c r="J144" s="8">
        <v>0.7</v>
      </c>
      <c r="K144" s="8">
        <v>0.70699999999999996</v>
      </c>
      <c r="L144" s="8">
        <v>0.71099999999999997</v>
      </c>
      <c r="M144" s="8">
        <v>0.72499999999999998</v>
      </c>
      <c r="N144" s="8">
        <v>0.73099999999999998</v>
      </c>
      <c r="O144" s="8">
        <v>0.74099999999999999</v>
      </c>
      <c r="P144" s="8">
        <v>0.749</v>
      </c>
      <c r="Q144" s="8">
        <v>0.754</v>
      </c>
      <c r="R144" s="8">
        <v>0.75800000000000001</v>
      </c>
      <c r="S144" s="8">
        <v>0.76400000000000001</v>
      </c>
      <c r="T144" s="8">
        <v>0.76500000000000001</v>
      </c>
      <c r="U144" s="8">
        <v>0.77</v>
      </c>
      <c r="V144" s="8">
        <v>0.77400000000000002</v>
      </c>
      <c r="W144" s="8">
        <v>0.75800000000000001</v>
      </c>
      <c r="X144" s="8">
        <v>0.755</v>
      </c>
      <c r="Y144" s="9">
        <v>0.76200000000000001</v>
      </c>
      <c r="Z144" t="s">
        <v>569</v>
      </c>
      <c r="AA144" t="s">
        <v>505</v>
      </c>
      <c r="AB144">
        <v>28</v>
      </c>
      <c r="AC144">
        <f>LN(_xlfn.XLOOKUP(Sheet2!A144,DataSheet!$G$2:$G$267,DataSheet!$H$2:$H$267))</f>
        <v>8.902541349073875</v>
      </c>
    </row>
    <row r="145" spans="1:29" x14ac:dyDescent="0.2">
      <c r="A145" s="6" t="s">
        <v>291</v>
      </c>
      <c r="B145" s="7" t="s">
        <v>292</v>
      </c>
      <c r="C145" s="8">
        <v>0.76300000000000001</v>
      </c>
      <c r="D145" s="8">
        <v>0.76700000000000002</v>
      </c>
      <c r="E145" s="8">
        <v>0.77500000000000002</v>
      </c>
      <c r="F145" s="8">
        <v>0.78</v>
      </c>
      <c r="G145" s="8">
        <v>0.78700000000000003</v>
      </c>
      <c r="H145" s="8">
        <v>0.79500000000000004</v>
      </c>
      <c r="I145" s="8">
        <v>0.79600000000000004</v>
      </c>
      <c r="J145" s="8">
        <v>0.80100000000000005</v>
      </c>
      <c r="K145" s="8">
        <v>0.81200000000000006</v>
      </c>
      <c r="L145" s="8">
        <v>0.81100000000000005</v>
      </c>
      <c r="M145" s="8">
        <v>0.81299999999999994</v>
      </c>
      <c r="N145" s="8">
        <v>0.81599999999999995</v>
      </c>
      <c r="O145" s="8">
        <v>0.82399999999999995</v>
      </c>
      <c r="P145" s="8">
        <v>0.83699999999999997</v>
      </c>
      <c r="Q145" s="8">
        <v>0.84099999999999997</v>
      </c>
      <c r="R145" s="8">
        <v>0.84599999999999997</v>
      </c>
      <c r="S145" s="8">
        <v>0.85099999999999998</v>
      </c>
      <c r="T145" s="8">
        <v>0.85399999999999998</v>
      </c>
      <c r="U145" s="8">
        <v>0.85599999999999998</v>
      </c>
      <c r="V145" s="8">
        <v>0.85899999999999999</v>
      </c>
      <c r="W145" s="8">
        <v>0.84899999999999998</v>
      </c>
      <c r="X145" s="8">
        <v>0.85599999999999998</v>
      </c>
      <c r="Y145" s="9">
        <v>0.86</v>
      </c>
      <c r="Z145" t="s">
        <v>569</v>
      </c>
      <c r="AA145" t="s">
        <v>505</v>
      </c>
      <c r="AB145">
        <v>52</v>
      </c>
      <c r="AC145">
        <f>LN(_xlfn.XLOOKUP(Sheet2!A145,DataSheet!$G$2:$G$267,DataSheet!$H$2:$H$267))</f>
        <v>9.6424874361953457</v>
      </c>
    </row>
    <row r="146" spans="1:29" x14ac:dyDescent="0.2">
      <c r="A146" s="6" t="s">
        <v>239</v>
      </c>
      <c r="B146" s="7" t="s">
        <v>240</v>
      </c>
      <c r="C146" s="8">
        <v>0.69899999999999995</v>
      </c>
      <c r="D146" s="8">
        <v>0.70399999999999996</v>
      </c>
      <c r="E146" s="8">
        <v>0.71099999999999997</v>
      </c>
      <c r="F146" s="8">
        <v>0.70199999999999996</v>
      </c>
      <c r="G146" s="8">
        <v>0.71299999999999997</v>
      </c>
      <c r="H146" s="8">
        <v>0.72199999999999998</v>
      </c>
      <c r="I146" s="8">
        <v>0.73</v>
      </c>
      <c r="J146" s="8">
        <v>0.747</v>
      </c>
      <c r="K146" s="8">
        <v>0.754</v>
      </c>
      <c r="L146" s="8">
        <v>0.754</v>
      </c>
      <c r="M146" s="8">
        <v>0.75900000000000001</v>
      </c>
      <c r="N146" s="8">
        <v>0.76600000000000001</v>
      </c>
      <c r="O146" s="8">
        <v>0.76900000000000002</v>
      </c>
      <c r="P146" s="8">
        <v>0.77100000000000002</v>
      </c>
      <c r="Q146" s="8">
        <v>0.76800000000000002</v>
      </c>
      <c r="R146" s="8">
        <v>0.76600000000000001</v>
      </c>
      <c r="S146" s="8">
        <v>0.75900000000000001</v>
      </c>
      <c r="T146" s="8">
        <v>0.75</v>
      </c>
      <c r="U146" s="8">
        <v>0.73799999999999999</v>
      </c>
      <c r="V146" s="8">
        <v>0.72</v>
      </c>
      <c r="W146" s="8">
        <v>0.69099999999999995</v>
      </c>
      <c r="X146" s="8">
        <v>0.69</v>
      </c>
      <c r="Y146" s="9">
        <v>0.69899999999999995</v>
      </c>
      <c r="Z146" t="s">
        <v>569</v>
      </c>
      <c r="AA146" t="s">
        <v>505</v>
      </c>
      <c r="AB146">
        <v>72</v>
      </c>
      <c r="AC146">
        <f>LN(_xlfn.XLOOKUP(Sheet2!A146,DataSheet!$G$2:$G$267,DataSheet!$H$2:$H$267))</f>
        <v>8.0567571092762691</v>
      </c>
    </row>
    <row r="147" spans="1:29" x14ac:dyDescent="0.2">
      <c r="A147" s="6" t="s">
        <v>39</v>
      </c>
      <c r="B147" s="7" t="s">
        <v>40</v>
      </c>
      <c r="C147" s="8">
        <v>0.66800000000000004</v>
      </c>
      <c r="D147" s="8">
        <v>0.67300000000000004</v>
      </c>
      <c r="E147" s="8">
        <v>0.67800000000000005</v>
      </c>
      <c r="F147" s="8">
        <v>0.68200000000000005</v>
      </c>
      <c r="G147" s="8">
        <v>0.68899999999999995</v>
      </c>
      <c r="H147" s="8">
        <v>0.69599999999999995</v>
      </c>
      <c r="I147" s="8">
        <v>0.70099999999999996</v>
      </c>
      <c r="J147" s="8">
        <v>0.70799999999999996</v>
      </c>
      <c r="K147" s="8">
        <v>0.71399999999999997</v>
      </c>
      <c r="L147" s="8">
        <v>0.71699999999999997</v>
      </c>
      <c r="M147" s="8">
        <v>0.72199999999999998</v>
      </c>
      <c r="N147" s="8">
        <v>0.72699999999999998</v>
      </c>
      <c r="O147" s="8">
        <v>0.73199999999999998</v>
      </c>
      <c r="P147" s="8">
        <v>0.75</v>
      </c>
      <c r="Q147" s="8">
        <v>0.753</v>
      </c>
      <c r="R147" s="8">
        <v>0.752</v>
      </c>
      <c r="S147" s="8">
        <v>0.753</v>
      </c>
      <c r="T147" s="8">
        <v>0.75800000000000001</v>
      </c>
      <c r="U147" s="8">
        <v>0.76200000000000001</v>
      </c>
      <c r="V147" s="8">
        <v>0.76400000000000001</v>
      </c>
      <c r="W147" s="8">
        <v>0.75800000000000001</v>
      </c>
      <c r="X147" s="8">
        <v>0.75600000000000001</v>
      </c>
      <c r="Y147" s="9">
        <v>0.76</v>
      </c>
      <c r="Z147" t="s">
        <v>569</v>
      </c>
      <c r="AA147" t="s">
        <v>505</v>
      </c>
      <c r="AB147">
        <v>83</v>
      </c>
      <c r="AC147">
        <f>LN(_xlfn.XLOOKUP(Sheet2!A147,DataSheet!$G$2:$G$267,DataSheet!$H$2:$H$267))</f>
        <v>9.1357604383122997</v>
      </c>
    </row>
    <row r="148" spans="1:29" x14ac:dyDescent="0.2">
      <c r="A148" s="2" t="s">
        <v>89</v>
      </c>
      <c r="B148" s="3" t="s">
        <v>90</v>
      </c>
      <c r="C148" s="4">
        <v>0.65600000000000003</v>
      </c>
      <c r="D148" s="4">
        <v>0.66200000000000003</v>
      </c>
      <c r="E148" s="4">
        <v>0.66900000000000004</v>
      </c>
      <c r="F148" s="4">
        <v>0.66300000000000003</v>
      </c>
      <c r="G148" s="4">
        <v>0.67100000000000004</v>
      </c>
      <c r="H148" s="4">
        <v>0.67300000000000004</v>
      </c>
      <c r="I148" s="4">
        <v>0.67400000000000004</v>
      </c>
      <c r="J148" s="4">
        <v>0.68100000000000005</v>
      </c>
      <c r="K148" s="4">
        <v>0.69099999999999995</v>
      </c>
      <c r="L148" s="4">
        <v>0.69099999999999995</v>
      </c>
      <c r="M148" s="4">
        <v>0.7</v>
      </c>
      <c r="N148" s="4">
        <v>0.71099999999999997</v>
      </c>
      <c r="O148" s="4">
        <v>0.71599999999999997</v>
      </c>
      <c r="P148" s="4">
        <v>0.72899999999999998</v>
      </c>
      <c r="Q148" s="4">
        <v>0.73099999999999998</v>
      </c>
      <c r="R148" s="4">
        <v>0.73799999999999999</v>
      </c>
      <c r="S148" s="4">
        <v>0.73599999999999999</v>
      </c>
      <c r="T148" s="4">
        <v>0.73899999999999999</v>
      </c>
      <c r="U148" s="4">
        <v>0.74199999999999999</v>
      </c>
      <c r="V148" s="4">
        <v>0.746</v>
      </c>
      <c r="W148" s="4">
        <v>0.74199999999999999</v>
      </c>
      <c r="X148" s="4">
        <v>0.73</v>
      </c>
      <c r="Y148" s="5">
        <v>0.73099999999999998</v>
      </c>
      <c r="Z148" t="s">
        <v>569</v>
      </c>
      <c r="AA148" t="s">
        <v>505</v>
      </c>
      <c r="AB148">
        <v>87</v>
      </c>
      <c r="AC148">
        <f>LN(_xlfn.XLOOKUP(Sheet2!A148,DataSheet!$G$2:$G$267,DataSheet!$H$2:$H$267))</f>
        <v>8.7332115708747633</v>
      </c>
    </row>
    <row r="149" spans="1:29" x14ac:dyDescent="0.2">
      <c r="A149" s="6" t="s">
        <v>43</v>
      </c>
      <c r="B149" s="7" t="s">
        <v>44</v>
      </c>
      <c r="C149" s="8">
        <v>0.67200000000000004</v>
      </c>
      <c r="D149" s="8">
        <v>0.67400000000000004</v>
      </c>
      <c r="E149" s="8">
        <v>0.67600000000000005</v>
      </c>
      <c r="F149" s="8">
        <v>0.68300000000000005</v>
      </c>
      <c r="G149" s="8">
        <v>0.68899999999999995</v>
      </c>
      <c r="H149" s="8">
        <v>0.70099999999999996</v>
      </c>
      <c r="I149" s="8">
        <v>0.70299999999999996</v>
      </c>
      <c r="J149" s="8">
        <v>0.71499999999999997</v>
      </c>
      <c r="K149" s="8">
        <v>0.72199999999999998</v>
      </c>
      <c r="L149" s="8">
        <v>0.72799999999999998</v>
      </c>
      <c r="M149" s="8">
        <v>0.73199999999999998</v>
      </c>
      <c r="N149" s="8">
        <v>0.73799999999999999</v>
      </c>
      <c r="O149" s="8">
        <v>0.73899999999999999</v>
      </c>
      <c r="P149" s="8">
        <v>0.75</v>
      </c>
      <c r="Q149" s="8">
        <v>0.755</v>
      </c>
      <c r="R149" s="8">
        <v>0.75800000000000001</v>
      </c>
      <c r="S149" s="8">
        <v>0.76300000000000001</v>
      </c>
      <c r="T149" s="8">
        <v>0.76500000000000001</v>
      </c>
      <c r="U149" s="8">
        <v>0.76600000000000001</v>
      </c>
      <c r="V149" s="8">
        <v>0.76800000000000002</v>
      </c>
      <c r="W149" s="8">
        <v>0.75600000000000001</v>
      </c>
      <c r="X149" s="8">
        <v>0.752</v>
      </c>
      <c r="Y149" s="9">
        <v>0.75800000000000001</v>
      </c>
      <c r="Z149" t="s">
        <v>569</v>
      </c>
      <c r="AA149" t="s">
        <v>505</v>
      </c>
      <c r="AB149">
        <v>91</v>
      </c>
      <c r="AC149">
        <f>LN(_xlfn.XLOOKUP(Sheet2!A149,DataSheet!$G$2:$G$267,DataSheet!$H$2:$H$267))</f>
        <v>8.8069398915567039</v>
      </c>
    </row>
    <row r="150" spans="1:29" x14ac:dyDescent="0.2">
      <c r="A150" s="2" t="s">
        <v>245</v>
      </c>
      <c r="B150" s="3" t="s">
        <v>246</v>
      </c>
      <c r="C150" s="4">
        <v>0.78</v>
      </c>
      <c r="D150" s="4">
        <v>0.78500000000000003</v>
      </c>
      <c r="E150" s="4">
        <v>0.78500000000000003</v>
      </c>
      <c r="F150" s="4">
        <v>0.79300000000000004</v>
      </c>
      <c r="G150" s="4">
        <v>0.79800000000000004</v>
      </c>
      <c r="H150" s="4">
        <v>0.80200000000000005</v>
      </c>
      <c r="I150" s="4">
        <v>0.81399999999999995</v>
      </c>
      <c r="J150" s="4">
        <v>0.81699999999999995</v>
      </c>
      <c r="K150" s="4">
        <v>0.82499999999999996</v>
      </c>
      <c r="L150" s="4">
        <v>0.82699999999999996</v>
      </c>
      <c r="M150" s="4">
        <v>0.83399999999999996</v>
      </c>
      <c r="N150" s="4">
        <v>0.84199999999999997</v>
      </c>
      <c r="O150" s="4">
        <v>0.84399999999999997</v>
      </c>
      <c r="P150" s="4">
        <v>0.84599999999999997</v>
      </c>
      <c r="Q150" s="4">
        <v>0.84699999999999998</v>
      </c>
      <c r="R150" s="4">
        <v>0.85</v>
      </c>
      <c r="S150" s="4">
        <v>0.84799999999999998</v>
      </c>
      <c r="T150" s="4">
        <v>0.85299999999999998</v>
      </c>
      <c r="U150" s="4">
        <v>0.85199999999999998</v>
      </c>
      <c r="V150" s="4">
        <v>0.85299999999999998</v>
      </c>
      <c r="W150" s="4">
        <v>0.84099999999999997</v>
      </c>
      <c r="X150" s="4">
        <v>0.84399999999999997</v>
      </c>
      <c r="Y150" s="5">
        <v>0.84899999999999998</v>
      </c>
      <c r="Z150" t="s">
        <v>569</v>
      </c>
      <c r="AA150" t="s">
        <v>505</v>
      </c>
      <c r="AB150">
        <v>107</v>
      </c>
      <c r="AC150">
        <f>LN(_xlfn.XLOOKUP(Sheet2!A150,DataSheet!$G$2:$G$267,DataSheet!$H$2:$H$267))</f>
        <v>9.5441081978301145</v>
      </c>
    </row>
    <row r="151" spans="1:29" x14ac:dyDescent="0.2">
      <c r="A151" s="6" t="s">
        <v>59</v>
      </c>
      <c r="B151" s="7" t="s">
        <v>60</v>
      </c>
      <c r="C151" s="8">
        <v>0.56999999999999995</v>
      </c>
      <c r="D151" s="8">
        <v>0.57799999999999996</v>
      </c>
      <c r="E151" s="8">
        <v>0.58399999999999996</v>
      </c>
      <c r="F151" s="8">
        <v>0.59099999999999997</v>
      </c>
      <c r="G151" s="8">
        <v>0.60399999999999998</v>
      </c>
      <c r="H151" s="8">
        <v>0.61499999999999999</v>
      </c>
      <c r="I151" s="8">
        <v>0.624</v>
      </c>
      <c r="J151" s="8">
        <v>0.63100000000000001</v>
      </c>
      <c r="K151" s="8">
        <v>0.63600000000000001</v>
      </c>
      <c r="L151" s="8">
        <v>0.64100000000000001</v>
      </c>
      <c r="M151" s="8">
        <v>0.65</v>
      </c>
      <c r="N151" s="8">
        <v>0.66300000000000003</v>
      </c>
      <c r="O151" s="8">
        <v>0.66900000000000004</v>
      </c>
      <c r="P151" s="8">
        <v>0.67400000000000004</v>
      </c>
      <c r="Q151" s="8">
        <v>0.68200000000000005</v>
      </c>
      <c r="R151" s="8">
        <v>0.68600000000000005</v>
      </c>
      <c r="S151" s="8">
        <v>0.69299999999999995</v>
      </c>
      <c r="T151" s="8">
        <v>0.69899999999999995</v>
      </c>
      <c r="U151" s="8">
        <v>0.70399999999999996</v>
      </c>
      <c r="V151" s="8">
        <v>0.71099999999999997</v>
      </c>
      <c r="W151" s="8">
        <v>0.72699999999999998</v>
      </c>
      <c r="X151" s="8">
        <v>0.72099999999999997</v>
      </c>
      <c r="Y151" s="9">
        <v>0.74199999999999999</v>
      </c>
      <c r="Z151" t="s">
        <v>569</v>
      </c>
      <c r="AA151" t="s">
        <v>505</v>
      </c>
      <c r="AB151">
        <v>111</v>
      </c>
      <c r="AC151">
        <f>LN(_xlfn.XLOOKUP(Sheet2!A151,DataSheet!$G$2:$G$267,DataSheet!$H$2:$H$267))</f>
        <v>9.793309495583074</v>
      </c>
    </row>
    <row r="158" spans="1:29" x14ac:dyDescent="0.2">
      <c r="E158" s="16"/>
      <c r="F158" s="16"/>
      <c r="G15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F9C8-9995-174F-851F-BC374716B216}">
  <dimension ref="L3:V15"/>
  <sheetViews>
    <sheetView zoomScaleNormal="121" workbookViewId="0">
      <selection activeCell="Q19" sqref="Q19"/>
    </sheetView>
  </sheetViews>
  <sheetFormatPr baseColWidth="10" defaultRowHeight="15" x14ac:dyDescent="0.2"/>
  <cols>
    <col min="12" max="12" width="17.1640625" bestFit="1" customWidth="1"/>
  </cols>
  <sheetData>
    <row r="3" spans="12:22" x14ac:dyDescent="0.2"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  <c r="S3">
        <v>2019</v>
      </c>
      <c r="T3">
        <v>2020</v>
      </c>
      <c r="U3">
        <v>2021</v>
      </c>
      <c r="V3">
        <v>2022</v>
      </c>
    </row>
    <row r="4" spans="12:22" x14ac:dyDescent="0.2">
      <c r="L4" t="s">
        <v>589</v>
      </c>
      <c r="M4" s="11">
        <f>AVERAGE(Sheet2!P2:P151)</f>
        <v>0.71247333333333396</v>
      </c>
      <c r="N4" s="11">
        <f>AVERAGE(Sheet2!Q2:Q151)</f>
        <v>0.71670666666666671</v>
      </c>
      <c r="O4" s="11">
        <f>AVERAGE(Sheet2!R2:R151)</f>
        <v>0.72025333333333375</v>
      </c>
      <c r="P4" s="11">
        <f>AVERAGE(Sheet2!S2:S151)</f>
        <v>0.72401333333333318</v>
      </c>
      <c r="Q4" s="11">
        <f>AVERAGE(Sheet2!T2:T151)</f>
        <v>0.72765333333333326</v>
      </c>
      <c r="R4" s="11">
        <f>AVERAGE(Sheet2!U2:U151)</f>
        <v>0.73108666666666688</v>
      </c>
      <c r="S4" s="11">
        <f>AVERAGE(Sheet2!V2:V151)</f>
        <v>0.73440666666666665</v>
      </c>
      <c r="T4" s="11">
        <f>AVERAGE(Sheet2!W2:W151)</f>
        <v>0.72993999999999992</v>
      </c>
      <c r="U4" s="11">
        <f>AVERAGE(Sheet2!X2:X151)</f>
        <v>0.72935999999999979</v>
      </c>
      <c r="V4" s="11">
        <f>AVERAGE(Sheet2!Y2:Y151)</f>
        <v>0.73374666666666644</v>
      </c>
    </row>
    <row r="5" spans="12:22" x14ac:dyDescent="0.2">
      <c r="L5" t="s">
        <v>590</v>
      </c>
      <c r="M5" s="11">
        <f>MEDIAN(Sheet2!P2:P151)</f>
        <v>0.73350000000000004</v>
      </c>
      <c r="N5" s="11">
        <f>MEDIAN(Sheet2!Q2:Q151)</f>
        <v>0.74299999999999999</v>
      </c>
      <c r="O5" s="11">
        <f>MEDIAN(Sheet2!R2:R151)</f>
        <v>0.74399999999999999</v>
      </c>
      <c r="P5" s="11">
        <f>MEDIAN(Sheet2!S2:S151)</f>
        <v>0.749</v>
      </c>
      <c r="Q5" s="11">
        <f>MEDIAN(Sheet2!T2:T151)</f>
        <v>0.752</v>
      </c>
      <c r="R5" s="11">
        <f>MEDIAN(Sheet2!U2:U151)</f>
        <v>0.752</v>
      </c>
      <c r="S5" s="11">
        <f>MEDIAN(Sheet2!V2:V151)</f>
        <v>0.75449999999999995</v>
      </c>
      <c r="T5" s="11">
        <f>MEDIAN(Sheet2!W2:W151)</f>
        <v>0.74099999999999999</v>
      </c>
      <c r="U5" s="11">
        <f>MEDIAN(Sheet2!X2:X151)</f>
        <v>0.74099999999999999</v>
      </c>
      <c r="V5" s="11">
        <f>MEDIAN(Sheet2!Y2:Y151)</f>
        <v>0.74550000000000005</v>
      </c>
    </row>
    <row r="6" spans="12:22" x14ac:dyDescent="0.2">
      <c r="L6" t="s">
        <v>568</v>
      </c>
      <c r="M6" s="11">
        <f>QUARTILE((Sheet2!P2:P151),3) - QUARTILE((Sheet2!P2:P151), 1)</f>
        <v>0.27100000000000002</v>
      </c>
      <c r="N6" s="11">
        <f>QUARTILE((Sheet2!Q2:Q151),3) - QUARTILE((Sheet2!Q2:Q151), 1)</f>
        <v>0.26449999999999996</v>
      </c>
      <c r="O6" s="11">
        <f>QUARTILE((Sheet2!R2:R151),3) - QUARTILE((Sheet2!R2:R151), 1)</f>
        <v>0.26324999999999998</v>
      </c>
      <c r="P6" s="11">
        <f>QUARTILE((Sheet2!S2:S151),3) - QUARTILE((Sheet2!S2:S151), 1)</f>
        <v>0.26025000000000009</v>
      </c>
      <c r="Q6" s="11">
        <f>QUARTILE((Sheet2!T2:T151),3) - QUARTILE((Sheet2!T2:T151), 1)</f>
        <v>0.25675000000000003</v>
      </c>
      <c r="R6" s="11">
        <f>QUARTILE((Sheet2!U2:U151),3) - QUARTILE((Sheet2!U2:U151), 1)</f>
        <v>0.25575000000000003</v>
      </c>
      <c r="S6" s="11">
        <f>QUARTILE((Sheet2!V2:V151),3) - QUARTILE((Sheet2!V2:V151), 1)</f>
        <v>0.25575000000000003</v>
      </c>
      <c r="T6" s="11">
        <f>QUARTILE((Sheet2!W2:W151),3) - QUARTILE((Sheet2!W2:W151), 1)</f>
        <v>0.24949999999999994</v>
      </c>
      <c r="U6" s="11">
        <f>QUARTILE((Sheet2!X2:X151),3) - QUARTILE((Sheet2!X2:X151), 1)</f>
        <v>0.25975000000000004</v>
      </c>
      <c r="V6" s="11">
        <f>QUARTILE((Sheet2!Y2:Y151),3) - QUARTILE((Sheet2!Y2:Y151), 1)</f>
        <v>0.26374999999999993</v>
      </c>
    </row>
    <row r="15" spans="12:22" x14ac:dyDescent="0.2">
      <c r="Q15" t="s">
        <v>580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9257-B59D-794B-8F8A-866614F2793E}">
  <dimension ref="B2:L7"/>
  <sheetViews>
    <sheetView workbookViewId="0">
      <selection activeCell="O23" sqref="O23"/>
    </sheetView>
  </sheetViews>
  <sheetFormatPr baseColWidth="10" defaultRowHeight="15" x14ac:dyDescent="0.2"/>
  <cols>
    <col min="2" max="2" width="17.1640625" bestFit="1" customWidth="1"/>
  </cols>
  <sheetData>
    <row r="2" spans="2:12" x14ac:dyDescent="0.2"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  <c r="L2">
        <v>2022</v>
      </c>
    </row>
    <row r="3" spans="2:12" x14ac:dyDescent="0.2">
      <c r="B3" t="s">
        <v>589</v>
      </c>
      <c r="C3" s="11">
        <f>AVERAGE(Sheet2!P2:P151)</f>
        <v>0.71247333333333396</v>
      </c>
      <c r="D3" s="11">
        <f>AVERAGE(Sheet2!Q2:Q151)</f>
        <v>0.71670666666666671</v>
      </c>
      <c r="E3" s="11">
        <f>AVERAGE(Sheet2!R2:R151)</f>
        <v>0.72025333333333375</v>
      </c>
      <c r="F3" s="11">
        <f>AVERAGE(Sheet2!S2:S151)</f>
        <v>0.72401333333333318</v>
      </c>
      <c r="G3" s="11">
        <f>AVERAGE(Sheet2!T2:T151)</f>
        <v>0.72765333333333326</v>
      </c>
      <c r="H3" s="11">
        <f>AVERAGE(Sheet2!U2:U151)</f>
        <v>0.73108666666666688</v>
      </c>
      <c r="I3" s="11">
        <f>AVERAGE(Sheet2!V2:V151)</f>
        <v>0.73440666666666665</v>
      </c>
      <c r="J3" s="11">
        <f>AVERAGE(Sheet2!W2:W151)</f>
        <v>0.72993999999999992</v>
      </c>
      <c r="K3" s="11">
        <f>AVERAGE(Sheet2!X2:X151)</f>
        <v>0.72935999999999979</v>
      </c>
      <c r="L3" s="11">
        <f>AVERAGE(Sheet2!Y2:Y151)</f>
        <v>0.73374666666666644</v>
      </c>
    </row>
    <row r="4" spans="2:12" x14ac:dyDescent="0.2">
      <c r="B4" t="s">
        <v>592</v>
      </c>
      <c r="C4" s="11">
        <f>C3-C7</f>
        <v>0.68693198069037564</v>
      </c>
      <c r="D4" s="11">
        <f t="shared" ref="D4:L4" si="0">D3-D7</f>
        <v>0.69131806517119287</v>
      </c>
      <c r="E4" s="11">
        <f t="shared" si="0"/>
        <v>0.69502628183436566</v>
      </c>
      <c r="F4" s="11">
        <f t="shared" si="0"/>
        <v>0.69894559617645069</v>
      </c>
      <c r="G4" s="11">
        <f t="shared" si="0"/>
        <v>0.70260653362476144</v>
      </c>
      <c r="H4" s="11">
        <f t="shared" si="0"/>
        <v>0.70614883906124981</v>
      </c>
      <c r="I4" s="11">
        <f t="shared" si="0"/>
        <v>0.70954432512374355</v>
      </c>
      <c r="J4" s="11">
        <f t="shared" si="0"/>
        <v>0.70530087637755678</v>
      </c>
      <c r="K4" s="11">
        <f t="shared" si="0"/>
        <v>0.70441538951923388</v>
      </c>
      <c r="L4" s="11">
        <f t="shared" si="0"/>
        <v>0.70864913826953979</v>
      </c>
    </row>
    <row r="5" spans="2:12" x14ac:dyDescent="0.2">
      <c r="B5" t="s">
        <v>591</v>
      </c>
      <c r="C5" s="11">
        <f>C3+C7</f>
        <v>0.73801468597629227</v>
      </c>
      <c r="D5" s="11">
        <f t="shared" ref="D5:L5" si="1">D3+D7</f>
        <v>0.74209526816214055</v>
      </c>
      <c r="E5" s="11">
        <f t="shared" si="1"/>
        <v>0.74548038483230183</v>
      </c>
      <c r="F5" s="11">
        <f t="shared" si="1"/>
        <v>0.74908107049021566</v>
      </c>
      <c r="G5" s="11">
        <f t="shared" si="1"/>
        <v>0.75270013304190508</v>
      </c>
      <c r="H5" s="11">
        <f t="shared" si="1"/>
        <v>0.75602449427208396</v>
      </c>
      <c r="I5" s="11">
        <f t="shared" si="1"/>
        <v>0.75926900820958976</v>
      </c>
      <c r="J5" s="11">
        <f t="shared" si="1"/>
        <v>0.75457912362244306</v>
      </c>
      <c r="K5" s="11">
        <f t="shared" si="1"/>
        <v>0.75430461048076569</v>
      </c>
      <c r="L5" s="11">
        <f t="shared" si="1"/>
        <v>0.75884419506379308</v>
      </c>
    </row>
    <row r="6" spans="2:12" x14ac:dyDescent="0.2">
      <c r="B6" t="s">
        <v>593</v>
      </c>
      <c r="C6" s="11">
        <f>STDEV(Sheet2!P2:P151)</f>
        <v>0.15830684233821166</v>
      </c>
      <c r="D6" s="11">
        <f>STDEV(Sheet2!Q2:Q151)</f>
        <v>0.15736008152409786</v>
      </c>
      <c r="E6" s="11">
        <f>STDEV(Sheet2!R2:R151)</f>
        <v>0.15635878491369226</v>
      </c>
      <c r="F6" s="11">
        <f>STDEV(Sheet2!S2:S151)</f>
        <v>0.15537134502406252</v>
      </c>
      <c r="G6" s="11">
        <f>STDEV(Sheet2!T2:T151)</f>
        <v>0.15524157345812295</v>
      </c>
      <c r="H6" s="11">
        <f>STDEV(Sheet2!U2:U151)</f>
        <v>0.15456615779809385</v>
      </c>
      <c r="I6" s="11">
        <f>STDEV(Sheet2!V2:V151)</f>
        <v>0.15409829063533961</v>
      </c>
      <c r="J6" s="11">
        <f>STDEV(Sheet2!W2:W151)</f>
        <v>0.15271477251715468</v>
      </c>
      <c r="K6" s="11">
        <f>STDEV(Sheet2!X2:X151)</f>
        <v>0.15460819846811896</v>
      </c>
      <c r="L6" s="11">
        <f>STDEV(Sheet2!Y2:Y151)</f>
        <v>0.15555599292577366</v>
      </c>
    </row>
    <row r="7" spans="2:12" x14ac:dyDescent="0.2">
      <c r="B7" t="s">
        <v>594</v>
      </c>
      <c r="C7" s="19">
        <f t="shared" ref="C7:L7" si="2">_xlfn.CONFIDENCE.T(0.05, C6, 150)</f>
        <v>2.5541352642958325E-2</v>
      </c>
      <c r="D7" s="19">
        <f t="shared" si="2"/>
        <v>2.5388601495473794E-2</v>
      </c>
      <c r="E7" s="19">
        <f t="shared" si="2"/>
        <v>2.5227051498968082E-2</v>
      </c>
      <c r="F7" s="19">
        <f t="shared" si="2"/>
        <v>2.5067737156882507E-2</v>
      </c>
      <c r="G7" s="19">
        <f t="shared" si="2"/>
        <v>2.5046799708571776E-2</v>
      </c>
      <c r="H7" s="19">
        <f t="shared" si="2"/>
        <v>2.4937827605417042E-2</v>
      </c>
      <c r="I7" s="19">
        <f t="shared" si="2"/>
        <v>2.4862341542923067E-2</v>
      </c>
      <c r="J7" s="19">
        <f t="shared" si="2"/>
        <v>2.4639123622443113E-2</v>
      </c>
      <c r="K7" s="19">
        <f t="shared" si="2"/>
        <v>2.494461048076594E-2</v>
      </c>
      <c r="L7" s="19">
        <f t="shared" si="2"/>
        <v>2.5097528397126631E-2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6570-0DAD-5E4F-B24F-EE2B86DC8B5F}">
  <dimension ref="B3:J8"/>
  <sheetViews>
    <sheetView workbookViewId="0">
      <selection activeCell="H9" sqref="H9"/>
    </sheetView>
  </sheetViews>
  <sheetFormatPr baseColWidth="10" defaultRowHeight="15" x14ac:dyDescent="0.2"/>
  <cols>
    <col min="8" max="8" width="17.1640625" bestFit="1" customWidth="1"/>
  </cols>
  <sheetData>
    <row r="3" spans="2:10" x14ac:dyDescent="0.2">
      <c r="B3" t="s">
        <v>595</v>
      </c>
      <c r="I3">
        <v>2013</v>
      </c>
      <c r="J3">
        <v>2022</v>
      </c>
    </row>
    <row r="4" spans="2:10" x14ac:dyDescent="0.2">
      <c r="B4" t="s">
        <v>596</v>
      </c>
      <c r="H4" t="s">
        <v>589</v>
      </c>
      <c r="I4" s="11">
        <f>AVERAGE(Sheet2!P2:P151)</f>
        <v>0.71247333333333396</v>
      </c>
      <c r="J4" s="11">
        <f>AVERAGE(Sheet2!Y2:Y151)</f>
        <v>0.73374666666666644</v>
      </c>
    </row>
    <row r="5" spans="2:10" x14ac:dyDescent="0.2">
      <c r="B5" t="s">
        <v>512</v>
      </c>
      <c r="C5">
        <v>0.69499999999999995</v>
      </c>
      <c r="H5" t="s">
        <v>593</v>
      </c>
      <c r="I5" s="11">
        <f>STDEV(Sheet2!P2:P151)</f>
        <v>0.15830684233821166</v>
      </c>
      <c r="J5" s="11">
        <f>STDEV(Sheet2!Y2:Y151)</f>
        <v>0.15555599292577366</v>
      </c>
    </row>
    <row r="6" spans="2:10" x14ac:dyDescent="0.2">
      <c r="H6" t="s">
        <v>597</v>
      </c>
      <c r="I6" s="11">
        <f>(I4-C5)/(I5/SQRT(150))</f>
        <v>1.3518288325400425</v>
      </c>
      <c r="J6" s="11">
        <f>(J4-C5)/(J5/SQRT(150))</f>
        <v>3.0506559336587644</v>
      </c>
    </row>
    <row r="7" spans="2:10" x14ac:dyDescent="0.2">
      <c r="H7" t="s">
        <v>598</v>
      </c>
      <c r="I7" s="11">
        <f>_xlfn.T.DIST.2T(ABS(I6),149)</f>
        <v>0.17847861793927319</v>
      </c>
      <c r="J7" s="11">
        <f>_xlfn.T.DIST.2T(ABS(J6),149)</f>
        <v>2.703738033846713E-3</v>
      </c>
    </row>
    <row r="8" spans="2:10" x14ac:dyDescent="0.2">
      <c r="H8" t="s">
        <v>602</v>
      </c>
      <c r="I8" s="11">
        <f>_xlfn.T.INV.2T(0.05,149)</f>
        <v>1.976013177689196</v>
      </c>
      <c r="J8" s="11">
        <f>_xlfn.T.INV.2T(0.05,149)</f>
        <v>1.976013177689196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39CF-A98E-114B-A3AD-FA119E85C1C9}">
  <dimension ref="B3:K153"/>
  <sheetViews>
    <sheetView workbookViewId="0">
      <selection activeCell="P18" sqref="P18"/>
    </sheetView>
  </sheetViews>
  <sheetFormatPr baseColWidth="10" defaultRowHeight="15" x14ac:dyDescent="0.2"/>
  <cols>
    <col min="7" max="7" width="27.6640625" bestFit="1" customWidth="1"/>
    <col min="8" max="8" width="11.1640625" customWidth="1"/>
    <col min="10" max="10" width="25" bestFit="1" customWidth="1"/>
    <col min="11" max="11" width="13.6640625" bestFit="1" customWidth="1"/>
  </cols>
  <sheetData>
    <row r="3" spans="2:11" x14ac:dyDescent="0.2">
      <c r="B3" t="s">
        <v>603</v>
      </c>
      <c r="G3" t="s">
        <v>605</v>
      </c>
    </row>
    <row r="4" spans="2:11" x14ac:dyDescent="0.2">
      <c r="B4" t="s">
        <v>604</v>
      </c>
      <c r="G4" t="s">
        <v>188</v>
      </c>
      <c r="H4">
        <f>Sheet2!Y2-Sheet2!P2</f>
        <v>1.7000000000000015E-2</v>
      </c>
      <c r="J4" t="s">
        <v>599</v>
      </c>
      <c r="K4" s="11">
        <f>AVERAGE(H4:H153)</f>
        <v>2.1273333333333328E-2</v>
      </c>
    </row>
    <row r="5" spans="2:11" x14ac:dyDescent="0.2">
      <c r="G5" t="s">
        <v>74</v>
      </c>
      <c r="H5">
        <f>Sheet2!Y3-Sheet2!P3</f>
        <v>-2.0000000000000018E-2</v>
      </c>
      <c r="J5" t="s">
        <v>600</v>
      </c>
      <c r="K5" s="11">
        <f>STDEV(H4:H153)</f>
        <v>2.3010034772327378E-2</v>
      </c>
    </row>
    <row r="6" spans="2:11" x14ac:dyDescent="0.2">
      <c r="G6" t="s">
        <v>168</v>
      </c>
      <c r="H6">
        <f>Sheet2!Y4-Sheet2!P4</f>
        <v>5.2000000000000046E-2</v>
      </c>
      <c r="J6" t="s">
        <v>601</v>
      </c>
      <c r="K6" s="11">
        <f>K4/(K5/SQRT(150))</f>
        <v>11.323062374828575</v>
      </c>
    </row>
    <row r="7" spans="2:11" x14ac:dyDescent="0.2">
      <c r="G7" t="s">
        <v>194</v>
      </c>
      <c r="H7">
        <f>Sheet2!Y5-Sheet2!P5</f>
        <v>1.5000000000000013E-2</v>
      </c>
      <c r="J7" t="s">
        <v>598</v>
      </c>
      <c r="K7">
        <f>_xlfn.T.DIST.RT(K6,149)</f>
        <v>3.8963683388721101E-22</v>
      </c>
    </row>
    <row r="8" spans="2:11" x14ac:dyDescent="0.2">
      <c r="G8" t="s">
        <v>132</v>
      </c>
      <c r="H8">
        <f>Sheet2!Y6-Sheet2!P6</f>
        <v>5.4999999999999993E-2</v>
      </c>
      <c r="J8" t="s">
        <v>602</v>
      </c>
      <c r="K8" s="11">
        <f>_xlfn.T.INV(0.95,149)</f>
        <v>1.6551445337979596</v>
      </c>
    </row>
    <row r="9" spans="2:11" x14ac:dyDescent="0.2">
      <c r="G9" t="s">
        <v>138</v>
      </c>
      <c r="H9">
        <f>Sheet2!Y7-Sheet2!P7</f>
        <v>9.000000000000008E-3</v>
      </c>
    </row>
    <row r="10" spans="2:11" x14ac:dyDescent="0.2">
      <c r="G10" t="s">
        <v>214</v>
      </c>
      <c r="H10">
        <f>Sheet2!Y8-Sheet2!P8</f>
        <v>6.1999999999999944E-2</v>
      </c>
      <c r="J10" t="s">
        <v>606</v>
      </c>
      <c r="K10">
        <f>_xlfn.T.TEST(Sheet2!P2:P151,Sheet2!Y2:Y151,1,1)</f>
        <v>3.8963683388933382E-22</v>
      </c>
    </row>
    <row r="11" spans="2:11" x14ac:dyDescent="0.2">
      <c r="G11" t="s">
        <v>140</v>
      </c>
      <c r="H11">
        <f>Sheet2!Y9-Sheet2!P9</f>
        <v>2.7000000000000024E-2</v>
      </c>
    </row>
    <row r="12" spans="2:11" x14ac:dyDescent="0.2">
      <c r="G12" t="s">
        <v>164</v>
      </c>
      <c r="H12">
        <f>Sheet2!Y10-Sheet2!P10</f>
        <v>1.3000000000000012E-2</v>
      </c>
    </row>
    <row r="13" spans="2:11" x14ac:dyDescent="0.2">
      <c r="G13" t="s">
        <v>238</v>
      </c>
      <c r="H13">
        <f>Sheet2!Y11-Sheet2!P11</f>
        <v>3.9000000000000035E-2</v>
      </c>
    </row>
    <row r="14" spans="2:11" x14ac:dyDescent="0.2">
      <c r="G14" t="s">
        <v>54</v>
      </c>
      <c r="H14">
        <f>Sheet2!Y12-Sheet2!P12</f>
        <v>4.3999999999999928E-2</v>
      </c>
    </row>
    <row r="15" spans="2:11" x14ac:dyDescent="0.2">
      <c r="G15" t="s">
        <v>152</v>
      </c>
      <c r="H15">
        <f>Sheet2!Y13-Sheet2!P13</f>
        <v>2.9000000000000026E-2</v>
      </c>
    </row>
    <row r="16" spans="2:11" x14ac:dyDescent="0.2">
      <c r="G16" t="s">
        <v>124</v>
      </c>
      <c r="H16">
        <f>Sheet2!Y14-Sheet2!P14</f>
        <v>3.5000000000000031E-2</v>
      </c>
    </row>
    <row r="17" spans="7:8" x14ac:dyDescent="0.2">
      <c r="G17" t="s">
        <v>206</v>
      </c>
      <c r="H17">
        <f>Sheet2!Y15-Sheet2!P15</f>
        <v>3.8999999999999924E-2</v>
      </c>
    </row>
    <row r="18" spans="7:8" x14ac:dyDescent="0.2">
      <c r="G18" t="s">
        <v>182</v>
      </c>
      <c r="H18">
        <f>Sheet2!Y16-Sheet2!P16</f>
        <v>3.9999999999999925E-2</v>
      </c>
    </row>
    <row r="19" spans="7:8" x14ac:dyDescent="0.2">
      <c r="G19" t="s">
        <v>226</v>
      </c>
      <c r="H19">
        <f>Sheet2!Y17-Sheet2!P17</f>
        <v>4.0000000000000036E-2</v>
      </c>
    </row>
    <row r="20" spans="7:8" x14ac:dyDescent="0.2">
      <c r="G20" t="s">
        <v>134</v>
      </c>
      <c r="H20">
        <f>Sheet2!Y18-Sheet2!P18</f>
        <v>3.3999999999999975E-2</v>
      </c>
    </row>
    <row r="21" spans="7:8" x14ac:dyDescent="0.2">
      <c r="G21" t="s">
        <v>130</v>
      </c>
      <c r="H21">
        <f>Sheet2!Y19-Sheet2!P19</f>
        <v>6.2E-2</v>
      </c>
    </row>
    <row r="22" spans="7:8" x14ac:dyDescent="0.2">
      <c r="G22" t="s">
        <v>28</v>
      </c>
      <c r="H22">
        <f>Sheet2!Y20-Sheet2!P20</f>
        <v>1.6000000000000014E-2</v>
      </c>
    </row>
    <row r="23" spans="7:8" x14ac:dyDescent="0.2">
      <c r="G23" t="s">
        <v>166</v>
      </c>
      <c r="H23">
        <f>Sheet2!Y21-Sheet2!P21</f>
        <v>2.8000000000000025E-2</v>
      </c>
    </row>
    <row r="24" spans="7:8" x14ac:dyDescent="0.2">
      <c r="G24" t="s">
        <v>184</v>
      </c>
      <c r="H24">
        <f>Sheet2!Y22-Sheet2!P22</f>
        <v>-7.0000000000000062E-3</v>
      </c>
    </row>
    <row r="25" spans="7:8" x14ac:dyDescent="0.2">
      <c r="G25" t="s">
        <v>144</v>
      </c>
      <c r="H25">
        <f>Sheet2!Y23-Sheet2!P23</f>
        <v>-7.0000000000000062E-3</v>
      </c>
    </row>
    <row r="26" spans="7:8" x14ac:dyDescent="0.2">
      <c r="G26" t="s">
        <v>136</v>
      </c>
      <c r="H26">
        <f>Sheet2!Y24-Sheet2!P24</f>
        <v>4.0999999999999981E-2</v>
      </c>
    </row>
    <row r="27" spans="7:8" x14ac:dyDescent="0.2">
      <c r="G27" t="s">
        <v>180</v>
      </c>
      <c r="H27">
        <f>Sheet2!Y25-Sheet2!P25</f>
        <v>4.2999999999999927E-2</v>
      </c>
    </row>
    <row r="28" spans="7:8" x14ac:dyDescent="0.2">
      <c r="G28" t="s">
        <v>142</v>
      </c>
      <c r="H28">
        <f>Sheet2!Y26-Sheet2!P26</f>
        <v>1.3000000000000012E-2</v>
      </c>
    </row>
    <row r="29" spans="7:8" x14ac:dyDescent="0.2">
      <c r="G29" t="s">
        <v>126</v>
      </c>
      <c r="H29">
        <f>Sheet2!Y27-Sheet2!P27</f>
        <v>4.0999999999999981E-2</v>
      </c>
    </row>
    <row r="30" spans="7:8" x14ac:dyDescent="0.2">
      <c r="G30" t="s">
        <v>118</v>
      </c>
      <c r="H30">
        <f>Sheet2!Y28-Sheet2!P28</f>
        <v>1.0000000000000009E-3</v>
      </c>
    </row>
    <row r="31" spans="7:8" x14ac:dyDescent="0.2">
      <c r="G31" t="s">
        <v>158</v>
      </c>
      <c r="H31">
        <f>Sheet2!Y29-Sheet2!P29</f>
        <v>4.6000000000000041E-2</v>
      </c>
    </row>
    <row r="32" spans="7:8" x14ac:dyDescent="0.2">
      <c r="G32" t="s">
        <v>120</v>
      </c>
      <c r="H32">
        <f>Sheet2!Y30-Sheet2!P30</f>
        <v>3.8999999999999979E-2</v>
      </c>
    </row>
    <row r="33" spans="7:8" x14ac:dyDescent="0.2">
      <c r="G33" t="s">
        <v>190</v>
      </c>
      <c r="H33">
        <f>Sheet2!Y31-Sheet2!P31</f>
        <v>6.3999999999999946E-2</v>
      </c>
    </row>
    <row r="34" spans="7:8" x14ac:dyDescent="0.2">
      <c r="G34" t="s">
        <v>192</v>
      </c>
      <c r="H34">
        <f>Sheet2!Y32-Sheet2!P32</f>
        <v>1.4999999999999902E-2</v>
      </c>
    </row>
    <row r="35" spans="7:8" x14ac:dyDescent="0.2">
      <c r="G35" t="s">
        <v>102</v>
      </c>
      <c r="H35">
        <f>Sheet2!Y33-Sheet2!P33</f>
        <v>1.2000000000000011E-2</v>
      </c>
    </row>
    <row r="36" spans="7:8" x14ac:dyDescent="0.2">
      <c r="G36" t="s">
        <v>176</v>
      </c>
      <c r="H36">
        <f>Sheet2!Y34-Sheet2!P34</f>
        <v>-3.0000000000000027E-3</v>
      </c>
    </row>
    <row r="37" spans="7:8" x14ac:dyDescent="0.2">
      <c r="G37" t="s">
        <v>38</v>
      </c>
      <c r="H37">
        <f>Sheet2!Y35-Sheet2!P35</f>
        <v>3.1999999999999917E-2</v>
      </c>
    </row>
    <row r="38" spans="7:8" x14ac:dyDescent="0.2">
      <c r="G38" t="s">
        <v>78</v>
      </c>
      <c r="H38">
        <f>Sheet2!Y36-Sheet2!P36</f>
        <v>1.7000000000000015E-2</v>
      </c>
    </row>
    <row r="39" spans="7:8" x14ac:dyDescent="0.2">
      <c r="G39" t="s">
        <v>108</v>
      </c>
      <c r="H39">
        <f>Sheet2!Y37-Sheet2!P37</f>
        <v>1.3000000000000012E-2</v>
      </c>
    </row>
    <row r="40" spans="7:8" x14ac:dyDescent="0.2">
      <c r="G40" t="s">
        <v>242</v>
      </c>
      <c r="H40">
        <f>Sheet2!Y38-Sheet2!P38</f>
        <v>1.4999999999999902E-2</v>
      </c>
    </row>
    <row r="41" spans="7:8" x14ac:dyDescent="0.2">
      <c r="G41" t="s">
        <v>160</v>
      </c>
      <c r="H41">
        <f>Sheet2!Y39-Sheet2!P39</f>
        <v>2.0000000000000018E-2</v>
      </c>
    </row>
    <row r="42" spans="7:8" x14ac:dyDescent="0.2">
      <c r="G42" t="s">
        <v>146</v>
      </c>
      <c r="H42">
        <f>Sheet2!Y40-Sheet2!P40</f>
        <v>2.4000000000000021E-2</v>
      </c>
    </row>
    <row r="43" spans="7:8" x14ac:dyDescent="0.2">
      <c r="G43" t="s">
        <v>128</v>
      </c>
      <c r="H43">
        <f>Sheet2!Y41-Sheet2!P41</f>
        <v>5.4000000000000048E-2</v>
      </c>
    </row>
    <row r="44" spans="7:8" x14ac:dyDescent="0.2">
      <c r="G44" t="s">
        <v>154</v>
      </c>
      <c r="H44">
        <f>Sheet2!Y42-Sheet2!P42</f>
        <v>3.6000000000000032E-2</v>
      </c>
    </row>
    <row r="45" spans="7:8" x14ac:dyDescent="0.2">
      <c r="G45" t="s">
        <v>32</v>
      </c>
      <c r="H45">
        <f>Sheet2!Y43-Sheet2!P43</f>
        <v>1.5000000000000013E-2</v>
      </c>
    </row>
    <row r="46" spans="7:8" x14ac:dyDescent="0.2">
      <c r="G46" t="s">
        <v>156</v>
      </c>
      <c r="H46">
        <f>Sheet2!Y44-Sheet2!P44</f>
        <v>3.0000000000000027E-2</v>
      </c>
    </row>
    <row r="47" spans="7:8" x14ac:dyDescent="0.2">
      <c r="G47" t="s">
        <v>112</v>
      </c>
      <c r="H47">
        <f>Sheet2!Y45-Sheet2!P45</f>
        <v>3.400000000000003E-2</v>
      </c>
    </row>
    <row r="48" spans="7:8" x14ac:dyDescent="0.2">
      <c r="G48" t="s">
        <v>288</v>
      </c>
      <c r="H48">
        <f>Sheet2!Y46-Sheet2!P46</f>
        <v>2.7999999999999914E-2</v>
      </c>
    </row>
    <row r="49" spans="7:8" x14ac:dyDescent="0.2">
      <c r="G49" t="s">
        <v>318</v>
      </c>
      <c r="H49">
        <f>Sheet2!Y47-Sheet2!P47</f>
        <v>2.5000000000000022E-2</v>
      </c>
    </row>
    <row r="50" spans="7:8" x14ac:dyDescent="0.2">
      <c r="G50" t="s">
        <v>304</v>
      </c>
      <c r="H50">
        <f>Sheet2!Y48-Sheet2!P48</f>
        <v>1.3000000000000012E-2</v>
      </c>
    </row>
    <row r="51" spans="7:8" x14ac:dyDescent="0.2">
      <c r="G51" t="s">
        <v>94</v>
      </c>
      <c r="H51">
        <f>Sheet2!Y49-Sheet2!P49</f>
        <v>2.1000000000000019E-2</v>
      </c>
    </row>
    <row r="52" spans="7:8" x14ac:dyDescent="0.2">
      <c r="G52" t="s">
        <v>210</v>
      </c>
      <c r="H52">
        <f>Sheet2!Y50-Sheet2!P50</f>
        <v>3.3000000000000029E-2</v>
      </c>
    </row>
    <row r="53" spans="7:8" x14ac:dyDescent="0.2">
      <c r="G53" t="s">
        <v>298</v>
      </c>
      <c r="H53">
        <f>Sheet2!Y51-Sheet2!P51</f>
        <v>1.9000000000000017E-2</v>
      </c>
    </row>
    <row r="54" spans="7:8" x14ac:dyDescent="0.2">
      <c r="G54" t="s">
        <v>328</v>
      </c>
      <c r="H54">
        <f>Sheet2!Y52-Sheet2!P52</f>
        <v>5.0000000000000044E-3</v>
      </c>
    </row>
    <row r="55" spans="7:8" x14ac:dyDescent="0.2">
      <c r="G55" t="s">
        <v>232</v>
      </c>
      <c r="H55">
        <f>Sheet2!Y53-Sheet2!P53</f>
        <v>3.2000000000000028E-2</v>
      </c>
    </row>
    <row r="56" spans="7:8" x14ac:dyDescent="0.2">
      <c r="G56" t="s">
        <v>302</v>
      </c>
      <c r="H56">
        <f>Sheet2!Y54-Sheet2!P54</f>
        <v>1.100000000000001E-2</v>
      </c>
    </row>
    <row r="57" spans="7:8" x14ac:dyDescent="0.2">
      <c r="G57" t="s">
        <v>220</v>
      </c>
      <c r="H57">
        <f>Sheet2!Y55-Sheet2!P55</f>
        <v>3.8000000000000034E-2</v>
      </c>
    </row>
    <row r="58" spans="7:8" x14ac:dyDescent="0.2">
      <c r="G58" t="s">
        <v>270</v>
      </c>
      <c r="H58">
        <f>Sheet2!Y56-Sheet2!P56</f>
        <v>4.4000000000000039E-2</v>
      </c>
    </row>
    <row r="59" spans="7:8" x14ac:dyDescent="0.2">
      <c r="G59" t="s">
        <v>66</v>
      </c>
      <c r="H59">
        <f>Sheet2!Y57-Sheet2!P57</f>
        <v>0</v>
      </c>
    </row>
    <row r="60" spans="7:8" x14ac:dyDescent="0.2">
      <c r="G60" t="s">
        <v>170</v>
      </c>
      <c r="H60">
        <f>Sheet2!Y58-Sheet2!P58</f>
        <v>-7.2000000000000008E-2</v>
      </c>
    </row>
    <row r="61" spans="7:8" x14ac:dyDescent="0.2">
      <c r="G61" t="s">
        <v>308</v>
      </c>
      <c r="H61">
        <f>Sheet2!Y59-Sheet2!P59</f>
        <v>3.400000000000003E-2</v>
      </c>
    </row>
    <row r="62" spans="7:8" x14ac:dyDescent="0.2">
      <c r="G62" t="s">
        <v>254</v>
      </c>
      <c r="H62">
        <f>Sheet2!Y60-Sheet2!P60</f>
        <v>4.9000000000000044E-2</v>
      </c>
    </row>
    <row r="63" spans="7:8" x14ac:dyDescent="0.2">
      <c r="G63" t="s">
        <v>230</v>
      </c>
      <c r="H63">
        <f>Sheet2!Y61-Sheet2!P61</f>
        <v>-1.0000000000000009E-3</v>
      </c>
    </row>
    <row r="64" spans="7:8" x14ac:dyDescent="0.2">
      <c r="G64" t="s">
        <v>216</v>
      </c>
      <c r="H64">
        <f>Sheet2!Y62-Sheet2!P62</f>
        <v>6.9999999999999951E-2</v>
      </c>
    </row>
    <row r="65" spans="7:8" x14ac:dyDescent="0.2">
      <c r="G65" t="s">
        <v>30</v>
      </c>
      <c r="H65">
        <f>Sheet2!Y63-Sheet2!P63</f>
        <v>2.9000000000000026E-2</v>
      </c>
    </row>
    <row r="66" spans="7:8" x14ac:dyDescent="0.2">
      <c r="G66" t="s">
        <v>306</v>
      </c>
      <c r="H66">
        <f>Sheet2!Y64-Sheet2!P64</f>
        <v>2.7000000000000024E-2</v>
      </c>
    </row>
    <row r="67" spans="7:8" x14ac:dyDescent="0.2">
      <c r="G67" t="s">
        <v>262</v>
      </c>
      <c r="H67">
        <f>Sheet2!Y65-Sheet2!P65</f>
        <v>-1.2000000000000011E-2</v>
      </c>
    </row>
    <row r="68" spans="7:8" x14ac:dyDescent="0.2">
      <c r="G68" t="s">
        <v>72</v>
      </c>
      <c r="H68">
        <f>Sheet2!Y66-Sheet2!P66</f>
        <v>2.0999999999999908E-2</v>
      </c>
    </row>
    <row r="69" spans="7:8" x14ac:dyDescent="0.2">
      <c r="G69" t="s">
        <v>172</v>
      </c>
      <c r="H69">
        <f>Sheet2!Y67-Sheet2!P67</f>
        <v>9.3000000000000083E-2</v>
      </c>
    </row>
    <row r="70" spans="7:8" x14ac:dyDescent="0.2">
      <c r="G70" t="s">
        <v>70</v>
      </c>
      <c r="H70">
        <f>Sheet2!Y68-Sheet2!P68</f>
        <v>-2.0000000000000018E-3</v>
      </c>
    </row>
    <row r="71" spans="7:8" x14ac:dyDescent="0.2">
      <c r="G71" t="s">
        <v>116</v>
      </c>
      <c r="H71">
        <f>Sheet2!Y69-Sheet2!P69</f>
        <v>-1.2999999999999956E-2</v>
      </c>
    </row>
    <row r="72" spans="7:8" x14ac:dyDescent="0.2">
      <c r="G72" t="s">
        <v>104</v>
      </c>
      <c r="H72">
        <f>Sheet2!Y70-Sheet2!P70</f>
        <v>2.8000000000000025E-2</v>
      </c>
    </row>
    <row r="73" spans="7:8" x14ac:dyDescent="0.2">
      <c r="G73" t="s">
        <v>282</v>
      </c>
      <c r="H73">
        <f>Sheet2!Y71-Sheet2!P71</f>
        <v>2.9999999999999916E-2</v>
      </c>
    </row>
    <row r="74" spans="7:8" x14ac:dyDescent="0.2">
      <c r="G74" t="s">
        <v>76</v>
      </c>
      <c r="H74">
        <f>Sheet2!Y72-Sheet2!P72</f>
        <v>4.7000000000000042E-2</v>
      </c>
    </row>
    <row r="75" spans="7:8" x14ac:dyDescent="0.2">
      <c r="G75" t="s">
        <v>202</v>
      </c>
      <c r="H75">
        <f>Sheet2!Y73-Sheet2!P73</f>
        <v>4.4000000000000039E-2</v>
      </c>
    </row>
    <row r="76" spans="7:8" x14ac:dyDescent="0.2">
      <c r="G76" t="s">
        <v>368</v>
      </c>
      <c r="H76">
        <f>Sheet2!Y74-Sheet2!P74</f>
        <v>9.000000000000008E-2</v>
      </c>
    </row>
    <row r="77" spans="7:8" x14ac:dyDescent="0.2">
      <c r="G77" t="s">
        <v>204</v>
      </c>
      <c r="H77">
        <f>Sheet2!Y75-Sheet2!P75</f>
        <v>2.5000000000000022E-2</v>
      </c>
    </row>
    <row r="78" spans="7:8" x14ac:dyDescent="0.2">
      <c r="G78" t="s">
        <v>178</v>
      </c>
      <c r="H78">
        <f>Sheet2!Y76-Sheet2!P76</f>
        <v>4.599999999999993E-2</v>
      </c>
    </row>
    <row r="79" spans="7:8" x14ac:dyDescent="0.2">
      <c r="G79" t="s">
        <v>366</v>
      </c>
      <c r="H79">
        <f>Sheet2!Y77-Sheet2!P77</f>
        <v>5.2999999999999936E-2</v>
      </c>
    </row>
    <row r="80" spans="7:8" x14ac:dyDescent="0.2">
      <c r="G80" t="s">
        <v>350</v>
      </c>
      <c r="H80">
        <f>Sheet2!Y78-Sheet2!P78</f>
        <v>1.8999999999999906E-2</v>
      </c>
    </row>
    <row r="81" spans="7:8" x14ac:dyDescent="0.2">
      <c r="G81" t="s">
        <v>336</v>
      </c>
      <c r="H81">
        <f>Sheet2!Y79-Sheet2!P79</f>
        <v>2.300000000000002E-2</v>
      </c>
    </row>
    <row r="82" spans="7:8" x14ac:dyDescent="0.2">
      <c r="G82" t="s">
        <v>362</v>
      </c>
      <c r="H82">
        <f>Sheet2!Y80-Sheet2!P80</f>
        <v>4.9000000000000044E-2</v>
      </c>
    </row>
    <row r="83" spans="7:8" x14ac:dyDescent="0.2">
      <c r="G83" t="s">
        <v>248</v>
      </c>
      <c r="H83">
        <f>Sheet2!Y81-Sheet2!P81</f>
        <v>1.6999999999999904E-2</v>
      </c>
    </row>
    <row r="84" spans="7:8" x14ac:dyDescent="0.2">
      <c r="G84" t="s">
        <v>356</v>
      </c>
      <c r="H84">
        <f>Sheet2!Y82-Sheet2!P82</f>
        <v>3.1000000000000028E-2</v>
      </c>
    </row>
    <row r="85" spans="7:8" x14ac:dyDescent="0.2">
      <c r="G85" t="s">
        <v>314</v>
      </c>
      <c r="H85">
        <f>Sheet2!Y83-Sheet2!P83</f>
        <v>2.1000000000000019E-2</v>
      </c>
    </row>
    <row r="86" spans="7:8" x14ac:dyDescent="0.2">
      <c r="G86" t="s">
        <v>300</v>
      </c>
      <c r="H86">
        <f>Sheet2!Y84-Sheet2!P84</f>
        <v>2.6000000000000023E-2</v>
      </c>
    </row>
    <row r="87" spans="7:8" x14ac:dyDescent="0.2">
      <c r="G87" t="s">
        <v>294</v>
      </c>
      <c r="H87">
        <f>Sheet2!Y85-Sheet2!P85</f>
        <v>1.7000000000000015E-2</v>
      </c>
    </row>
    <row r="88" spans="7:8" x14ac:dyDescent="0.2">
      <c r="G88" t="s">
        <v>322</v>
      </c>
      <c r="H88">
        <f>Sheet2!Y86-Sheet2!P86</f>
        <v>1.6999999999999904E-2</v>
      </c>
    </row>
    <row r="89" spans="7:8" x14ac:dyDescent="0.2">
      <c r="G89" t="s">
        <v>280</v>
      </c>
      <c r="H89">
        <f>Sheet2!Y87-Sheet2!P87</f>
        <v>2.200000000000002E-2</v>
      </c>
    </row>
    <row r="90" spans="7:8" x14ac:dyDescent="0.2">
      <c r="G90" t="s">
        <v>42</v>
      </c>
      <c r="H90">
        <f>Sheet2!Y88-Sheet2!P88</f>
        <v>-5.0000000000000044E-3</v>
      </c>
    </row>
    <row r="91" spans="7:8" x14ac:dyDescent="0.2">
      <c r="G91" t="s">
        <v>332</v>
      </c>
      <c r="H91">
        <f>Sheet2!Y89-Sheet2!P89</f>
        <v>1.6000000000000014E-2</v>
      </c>
    </row>
    <row r="92" spans="7:8" x14ac:dyDescent="0.2">
      <c r="G92" t="s">
        <v>326</v>
      </c>
      <c r="H92">
        <f>Sheet2!Y90-Sheet2!P90</f>
        <v>2.1000000000000019E-2</v>
      </c>
    </row>
    <row r="93" spans="7:8" x14ac:dyDescent="0.2">
      <c r="G93" t="s">
        <v>352</v>
      </c>
      <c r="H93">
        <f>Sheet2!Y91-Sheet2!P91</f>
        <v>6.0000000000000053E-3</v>
      </c>
    </row>
    <row r="94" spans="7:8" x14ac:dyDescent="0.2">
      <c r="G94" t="s">
        <v>360</v>
      </c>
      <c r="H94">
        <f>Sheet2!Y92-Sheet2!P92</f>
        <v>2.0000000000000018E-2</v>
      </c>
    </row>
    <row r="95" spans="7:8" x14ac:dyDescent="0.2">
      <c r="G95" t="s">
        <v>86</v>
      </c>
      <c r="H95">
        <f>Sheet2!Y93-Sheet2!P93</f>
        <v>2.0000000000000018E-3</v>
      </c>
    </row>
    <row r="96" spans="7:8" x14ac:dyDescent="0.2">
      <c r="G96" t="s">
        <v>334</v>
      </c>
      <c r="H96">
        <f>Sheet2!Y94-Sheet2!P94</f>
        <v>3.2000000000000028E-2</v>
      </c>
    </row>
    <row r="97" spans="7:8" x14ac:dyDescent="0.2">
      <c r="G97" t="s">
        <v>370</v>
      </c>
      <c r="H97">
        <f>Sheet2!Y95-Sheet2!P95</f>
        <v>1.6999999999999904E-2</v>
      </c>
    </row>
    <row r="98" spans="7:8" x14ac:dyDescent="0.2">
      <c r="G98" t="s">
        <v>286</v>
      </c>
      <c r="H98">
        <f>Sheet2!Y96-Sheet2!P96</f>
        <v>1.9000000000000017E-2</v>
      </c>
    </row>
    <row r="99" spans="7:8" x14ac:dyDescent="0.2">
      <c r="G99" t="s">
        <v>312</v>
      </c>
      <c r="H99">
        <f>Sheet2!Y97-Sheet2!P97</f>
        <v>2.0999999999999908E-2</v>
      </c>
    </row>
    <row r="100" spans="7:8" x14ac:dyDescent="0.2">
      <c r="G100" t="s">
        <v>272</v>
      </c>
      <c r="H100">
        <f>Sheet2!Y98-Sheet2!P98</f>
        <v>1.100000000000001E-2</v>
      </c>
    </row>
    <row r="101" spans="7:8" x14ac:dyDescent="0.2">
      <c r="G101" t="s">
        <v>296</v>
      </c>
      <c r="H101">
        <f>Sheet2!Y99-Sheet2!P99</f>
        <v>3.8999999999999924E-2</v>
      </c>
    </row>
    <row r="102" spans="7:8" x14ac:dyDescent="0.2">
      <c r="G102" t="s">
        <v>346</v>
      </c>
      <c r="H102">
        <f>Sheet2!Y100-Sheet2!P100</f>
        <v>2.0000000000000018E-2</v>
      </c>
    </row>
    <row r="103" spans="7:8" x14ac:dyDescent="0.2">
      <c r="G103" t="s">
        <v>358</v>
      </c>
      <c r="H103">
        <f>Sheet2!Y101-Sheet2!P101</f>
        <v>1.9999999999999907E-2</v>
      </c>
    </row>
    <row r="104" spans="7:8" x14ac:dyDescent="0.2">
      <c r="G104" t="s">
        <v>274</v>
      </c>
      <c r="H104">
        <f>Sheet2!Y102-Sheet2!P102</f>
        <v>1.8999999999999906E-2</v>
      </c>
    </row>
    <row r="105" spans="7:8" x14ac:dyDescent="0.2">
      <c r="G105" t="s">
        <v>82</v>
      </c>
      <c r="H105">
        <f>Sheet2!Y103-Sheet2!P103</f>
        <v>3.7000000000000033E-2</v>
      </c>
    </row>
    <row r="106" spans="7:8" x14ac:dyDescent="0.2">
      <c r="G106" t="s">
        <v>268</v>
      </c>
      <c r="H106">
        <f>Sheet2!Y104-Sheet2!P104</f>
        <v>3.9000000000000035E-2</v>
      </c>
    </row>
    <row r="107" spans="7:8" x14ac:dyDescent="0.2">
      <c r="G107" t="s">
        <v>342</v>
      </c>
      <c r="H107">
        <f>Sheet2!Y105-Sheet2!P105</f>
        <v>-1.5000000000000013E-2</v>
      </c>
    </row>
    <row r="108" spans="7:8" x14ac:dyDescent="0.2">
      <c r="G108" t="s">
        <v>110</v>
      </c>
      <c r="H108">
        <f>Sheet2!Y106-Sheet2!P106</f>
        <v>-4.0000000000000036E-2</v>
      </c>
    </row>
    <row r="109" spans="7:8" x14ac:dyDescent="0.2">
      <c r="G109" t="s">
        <v>320</v>
      </c>
      <c r="H109">
        <f>Sheet2!Y107-Sheet2!P107</f>
        <v>4.1000000000000036E-2</v>
      </c>
    </row>
    <row r="110" spans="7:8" x14ac:dyDescent="0.2">
      <c r="G110" t="s">
        <v>250</v>
      </c>
      <c r="H110">
        <f>Sheet2!Y108-Sheet2!P108</f>
        <v>1.9000000000000017E-2</v>
      </c>
    </row>
    <row r="111" spans="7:8" x14ac:dyDescent="0.2">
      <c r="G111" t="s">
        <v>260</v>
      </c>
      <c r="H111">
        <f>Sheet2!Y109-Sheet2!P109</f>
        <v>2.4999999999999911E-2</v>
      </c>
    </row>
    <row r="112" spans="7:8" x14ac:dyDescent="0.2">
      <c r="G112" t="s">
        <v>340</v>
      </c>
      <c r="H112">
        <f>Sheet2!Y110-Sheet2!P110</f>
        <v>5.0000000000000044E-3</v>
      </c>
    </row>
    <row r="113" spans="7:8" x14ac:dyDescent="0.2">
      <c r="G113" t="s">
        <v>316</v>
      </c>
      <c r="H113">
        <f>Sheet2!Y111-Sheet2!P111</f>
        <v>5.0000000000000044E-3</v>
      </c>
    </row>
    <row r="114" spans="7:8" x14ac:dyDescent="0.2">
      <c r="G114" t="s">
        <v>276</v>
      </c>
      <c r="H114">
        <f>Sheet2!Y112-Sheet2!P112</f>
        <v>1.8000000000000016E-2</v>
      </c>
    </row>
    <row r="115" spans="7:8" x14ac:dyDescent="0.2">
      <c r="G115" t="s">
        <v>278</v>
      </c>
      <c r="H115">
        <f>Sheet2!Y113-Sheet2!P113</f>
        <v>1.5999999999999903E-2</v>
      </c>
    </row>
    <row r="116" spans="7:8" x14ac:dyDescent="0.2">
      <c r="G116" t="s">
        <v>36</v>
      </c>
      <c r="H116">
        <f>Sheet2!Y114-Sheet2!P114</f>
        <v>3.400000000000003E-2</v>
      </c>
    </row>
    <row r="117" spans="7:8" x14ac:dyDescent="0.2">
      <c r="G117" t="s">
        <v>284</v>
      </c>
      <c r="H117">
        <f>Sheet2!Y115-Sheet2!P115</f>
        <v>1.2000000000000011E-2</v>
      </c>
    </row>
    <row r="118" spans="7:8" x14ac:dyDescent="0.2">
      <c r="G118" t="s">
        <v>222</v>
      </c>
      <c r="H118">
        <f>Sheet2!Y116-Sheet2!P116</f>
        <v>3.8000000000000034E-2</v>
      </c>
    </row>
    <row r="119" spans="7:8" x14ac:dyDescent="0.2">
      <c r="G119" t="s">
        <v>68</v>
      </c>
      <c r="H119">
        <f>Sheet2!Y117-Sheet2!P117</f>
        <v>-9.000000000000008E-3</v>
      </c>
    </row>
    <row r="120" spans="7:8" x14ac:dyDescent="0.2">
      <c r="G120" t="s">
        <v>196</v>
      </c>
      <c r="H120">
        <f>Sheet2!Y118-Sheet2!P118</f>
        <v>6.0000000000000053E-3</v>
      </c>
    </row>
    <row r="121" spans="7:8" x14ac:dyDescent="0.2">
      <c r="G121" t="s">
        <v>264</v>
      </c>
      <c r="H121">
        <f>Sheet2!Y119-Sheet2!P119</f>
        <v>1.2000000000000011E-2</v>
      </c>
    </row>
    <row r="122" spans="7:8" x14ac:dyDescent="0.2">
      <c r="G122" t="s">
        <v>186</v>
      </c>
      <c r="H122">
        <f>Sheet2!Y120-Sheet2!P120</f>
        <v>1.0000000000000009E-2</v>
      </c>
    </row>
    <row r="123" spans="7:8" x14ac:dyDescent="0.2">
      <c r="G123" t="s">
        <v>96</v>
      </c>
      <c r="H123">
        <f>Sheet2!Y121-Sheet2!P121</f>
        <v>2.0000000000000018E-3</v>
      </c>
    </row>
    <row r="124" spans="7:8" x14ac:dyDescent="0.2">
      <c r="G124" t="s">
        <v>252</v>
      </c>
      <c r="H124">
        <f>Sheet2!Y122-Sheet2!P122</f>
        <v>1.5999999999999903E-2</v>
      </c>
    </row>
    <row r="125" spans="7:8" x14ac:dyDescent="0.2">
      <c r="G125" t="s">
        <v>198</v>
      </c>
      <c r="H125">
        <f>Sheet2!Y123-Sheet2!P123</f>
        <v>1.2000000000000011E-2</v>
      </c>
    </row>
    <row r="126" spans="7:8" x14ac:dyDescent="0.2">
      <c r="G126" t="s">
        <v>98</v>
      </c>
      <c r="H126">
        <f>Sheet2!Y124-Sheet2!P124</f>
        <v>6.0000000000000053E-3</v>
      </c>
    </row>
    <row r="127" spans="7:8" x14ac:dyDescent="0.2">
      <c r="G127" t="s">
        <v>48</v>
      </c>
      <c r="H127">
        <f>Sheet2!Y125-Sheet2!P125</f>
        <v>2.0000000000000018E-2</v>
      </c>
    </row>
    <row r="128" spans="7:8" x14ac:dyDescent="0.2">
      <c r="G128" t="s">
        <v>256</v>
      </c>
      <c r="H128">
        <f>Sheet2!Y126-Sheet2!P126</f>
        <v>1.6000000000000014E-2</v>
      </c>
    </row>
    <row r="129" spans="7:8" x14ac:dyDescent="0.2">
      <c r="G129" t="s">
        <v>34</v>
      </c>
      <c r="H129">
        <f>Sheet2!Y127-Sheet2!P127</f>
        <v>-2.1000000000000019E-2</v>
      </c>
    </row>
    <row r="130" spans="7:8" x14ac:dyDescent="0.2">
      <c r="G130" t="s">
        <v>200</v>
      </c>
      <c r="H130">
        <f>Sheet2!Y128-Sheet2!P128</f>
        <v>2.200000000000002E-2</v>
      </c>
    </row>
    <row r="131" spans="7:8" x14ac:dyDescent="0.2">
      <c r="G131" t="s">
        <v>372</v>
      </c>
      <c r="H131">
        <f>Sheet2!Y129-Sheet2!P129</f>
        <v>5.0000000000000044E-3</v>
      </c>
    </row>
    <row r="132" spans="7:8" x14ac:dyDescent="0.2">
      <c r="G132" t="s">
        <v>364</v>
      </c>
      <c r="H132">
        <f>Sheet2!Y130-Sheet2!P130</f>
        <v>1.2999999999999901E-2</v>
      </c>
    </row>
    <row r="133" spans="7:8" x14ac:dyDescent="0.2">
      <c r="G133" t="s">
        <v>46</v>
      </c>
      <c r="H133">
        <f>Sheet2!Y131-Sheet2!P131</f>
        <v>-2.0000000000000018E-3</v>
      </c>
    </row>
    <row r="134" spans="7:8" x14ac:dyDescent="0.2">
      <c r="G134" t="s">
        <v>50</v>
      </c>
      <c r="H134">
        <f>Sheet2!Y132-Sheet2!P132</f>
        <v>4.4000000000000039E-2</v>
      </c>
    </row>
    <row r="135" spans="7:8" x14ac:dyDescent="0.2">
      <c r="G135" t="s">
        <v>266</v>
      </c>
      <c r="H135">
        <f>Sheet2!Y133-Sheet2!P133</f>
        <v>1.9000000000000017E-2</v>
      </c>
    </row>
    <row r="136" spans="7:8" x14ac:dyDescent="0.2">
      <c r="G136" t="s">
        <v>88</v>
      </c>
      <c r="H136">
        <f>Sheet2!Y134-Sheet2!P134</f>
        <v>2.1000000000000019E-2</v>
      </c>
    </row>
    <row r="137" spans="7:8" x14ac:dyDescent="0.2">
      <c r="G137" t="s">
        <v>106</v>
      </c>
      <c r="H137">
        <f>Sheet2!Y135-Sheet2!P135</f>
        <v>2.0000000000000018E-2</v>
      </c>
    </row>
    <row r="138" spans="7:8" x14ac:dyDescent="0.2">
      <c r="G138" t="s">
        <v>212</v>
      </c>
      <c r="H138">
        <f>Sheet2!Y136-Sheet2!P136</f>
        <v>-8.0000000000000071E-3</v>
      </c>
    </row>
    <row r="139" spans="7:8" x14ac:dyDescent="0.2">
      <c r="G139" t="s">
        <v>56</v>
      </c>
      <c r="H139">
        <f>Sheet2!Y137-Sheet2!P137</f>
        <v>1.7000000000000015E-2</v>
      </c>
    </row>
    <row r="140" spans="7:8" x14ac:dyDescent="0.2">
      <c r="G140" t="s">
        <v>324</v>
      </c>
      <c r="H140">
        <f>Sheet2!Y138-Sheet2!P138</f>
        <v>8.999999999999897E-3</v>
      </c>
    </row>
    <row r="141" spans="7:8" x14ac:dyDescent="0.2">
      <c r="G141" t="s">
        <v>224</v>
      </c>
      <c r="H141">
        <f>Sheet2!Y139-Sheet2!P139</f>
        <v>5.1999999999999935E-2</v>
      </c>
    </row>
    <row r="142" spans="7:8" x14ac:dyDescent="0.2">
      <c r="G142" t="s">
        <v>236</v>
      </c>
      <c r="H142">
        <f>Sheet2!Y140-Sheet2!P140</f>
        <v>1.6000000000000014E-2</v>
      </c>
    </row>
    <row r="143" spans="7:8" x14ac:dyDescent="0.2">
      <c r="G143" t="s">
        <v>100</v>
      </c>
      <c r="H143">
        <f>Sheet2!Y141-Sheet2!P141</f>
        <v>-2.0000000000000018E-3</v>
      </c>
    </row>
    <row r="144" spans="7:8" x14ac:dyDescent="0.2">
      <c r="G144" t="s">
        <v>228</v>
      </c>
      <c r="H144">
        <f>Sheet2!Y142-Sheet2!P142</f>
        <v>-9.9999999999988987E-4</v>
      </c>
    </row>
    <row r="145" spans="7:8" x14ac:dyDescent="0.2">
      <c r="G145" t="s">
        <v>374</v>
      </c>
      <c r="H145">
        <f>Sheet2!Y143-Sheet2!P143</f>
        <v>2.7999999999999914E-2</v>
      </c>
    </row>
    <row r="146" spans="7:8" x14ac:dyDescent="0.2">
      <c r="G146" t="s">
        <v>92</v>
      </c>
      <c r="H146">
        <f>Sheet2!Y144-Sheet2!P144</f>
        <v>1.3000000000000012E-2</v>
      </c>
    </row>
    <row r="147" spans="7:8" x14ac:dyDescent="0.2">
      <c r="G147" t="s">
        <v>292</v>
      </c>
      <c r="H147">
        <f>Sheet2!Y145-Sheet2!P145</f>
        <v>2.300000000000002E-2</v>
      </c>
    </row>
    <row r="148" spans="7:8" x14ac:dyDescent="0.2">
      <c r="G148" t="s">
        <v>240</v>
      </c>
      <c r="H148">
        <f>Sheet2!Y146-Sheet2!P146</f>
        <v>-7.2000000000000064E-2</v>
      </c>
    </row>
    <row r="149" spans="7:8" x14ac:dyDescent="0.2">
      <c r="G149" t="s">
        <v>40</v>
      </c>
      <c r="H149">
        <f>Sheet2!Y147-Sheet2!P147</f>
        <v>1.0000000000000009E-2</v>
      </c>
    </row>
    <row r="150" spans="7:8" x14ac:dyDescent="0.2">
      <c r="G150" t="s">
        <v>90</v>
      </c>
      <c r="H150">
        <f>Sheet2!Y148-Sheet2!P148</f>
        <v>2.0000000000000018E-3</v>
      </c>
    </row>
    <row r="151" spans="7:8" x14ac:dyDescent="0.2">
      <c r="G151" t="s">
        <v>44</v>
      </c>
      <c r="H151">
        <f>Sheet2!Y149-Sheet2!P149</f>
        <v>8.0000000000000071E-3</v>
      </c>
    </row>
    <row r="152" spans="7:8" x14ac:dyDescent="0.2">
      <c r="G152" t="s">
        <v>246</v>
      </c>
      <c r="H152">
        <f>Sheet2!Y150-Sheet2!P150</f>
        <v>3.0000000000000027E-3</v>
      </c>
    </row>
    <row r="153" spans="7:8" x14ac:dyDescent="0.2">
      <c r="G153" t="s">
        <v>60</v>
      </c>
      <c r="H153">
        <f>Sheet2!Y151-Sheet2!P151</f>
        <v>6.7999999999999949E-2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A73A-6978-AA4B-B330-4B145CCC3B6C}">
  <dimension ref="B2:L10"/>
  <sheetViews>
    <sheetView workbookViewId="0">
      <selection activeCell="J42" sqref="J42"/>
    </sheetView>
  </sheetViews>
  <sheetFormatPr baseColWidth="10" defaultRowHeight="15" x14ac:dyDescent="0.2"/>
  <cols>
    <col min="3" max="4" width="12.1640625" bestFit="1" customWidth="1"/>
  </cols>
  <sheetData>
    <row r="2" spans="2:12" x14ac:dyDescent="0.2"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  <c r="L2">
        <v>2022</v>
      </c>
    </row>
    <row r="3" spans="2:12" x14ac:dyDescent="0.2">
      <c r="B3" t="s">
        <v>379</v>
      </c>
      <c r="C3" s="11">
        <f>AVERAGEIF(Sheet2!$Z$2:$Z$151, "Europe",Sheet2!P2:P151)</f>
        <v>0.87358823529411744</v>
      </c>
      <c r="D3" s="11">
        <f>AVERAGEIF(Sheet2!$Z$2:$Z$151, "Europe",Sheet2!Q2:Q151)</f>
        <v>0.87735294117647067</v>
      </c>
      <c r="E3" s="11">
        <f>AVERAGEIF(Sheet2!$Z$2:$Z$151, "Europe",Sheet2!R2:R151)</f>
        <v>0.87879411764705884</v>
      </c>
      <c r="F3" s="11">
        <f>AVERAGEIF(Sheet2!$Z$2:$Z$151, "Europe",Sheet2!S2:S151)</f>
        <v>0.88179411764705895</v>
      </c>
      <c r="G3" s="11">
        <f>AVERAGEIF(Sheet2!$Z$2:$Z$151, "Europe",Sheet2!T2:T151)</f>
        <v>0.88502941176470595</v>
      </c>
      <c r="H3" s="11">
        <f>AVERAGEIF(Sheet2!$Z$2:$Z$151, "Europe",Sheet2!U2:U151)</f>
        <v>0.88741176470588234</v>
      </c>
      <c r="I3" s="11">
        <f>AVERAGEIF(Sheet2!$Z$2:$Z$151, "Europe",Sheet2!V2:V151)</f>
        <v>0.89085294117647085</v>
      </c>
      <c r="J3" s="11">
        <f>AVERAGEIF(Sheet2!$Z$2:$Z$151, "Europe",Sheet2!W2:W151)</f>
        <v>0.88508823529411784</v>
      </c>
      <c r="K3" s="11">
        <f>AVERAGEIF(Sheet2!$Z$2:$Z$151, "Europe",Sheet2!X2:X151)</f>
        <v>0.88726470588235296</v>
      </c>
      <c r="L3" s="11">
        <f>AVERAGEIF(Sheet2!$Z$2:$Z$151, "Europe",Sheet2!Y2:Y151)</f>
        <v>0.89088235294117668</v>
      </c>
    </row>
    <row r="4" spans="2:12" x14ac:dyDescent="0.2">
      <c r="B4" t="s">
        <v>380</v>
      </c>
      <c r="C4" s="11">
        <f>AVERAGEIF(Sheet2!$Z$2:$Z$151, "Africa",Sheet2!P2:P151)</f>
        <v>0.54314634146341456</v>
      </c>
      <c r="D4" s="11">
        <f>AVERAGEIF(Sheet2!$Z$2:$Z$151, "Africa",Sheet2!Q2:Q151)</f>
        <v>0.54860975609756091</v>
      </c>
      <c r="E4" s="11">
        <f>AVERAGEIF(Sheet2!$Z$2:$Z$151, "Africa",Sheet2!R2:R151)</f>
        <v>0.55404878048780504</v>
      </c>
      <c r="F4" s="11">
        <f>AVERAGEIF(Sheet2!$Z$2:$Z$151, "Africa",Sheet2!S2:S151)</f>
        <v>0.55887804878048797</v>
      </c>
      <c r="G4" s="11">
        <f>AVERAGEIF(Sheet2!$Z$2:$Z$151, "Africa",Sheet2!T2:T151)</f>
        <v>0.56358536585365848</v>
      </c>
      <c r="H4" s="11">
        <f>AVERAGEIF(Sheet2!$Z$2:$Z$151, "Africa",Sheet2!U2:U151)</f>
        <v>0.56780487804878055</v>
      </c>
      <c r="I4" s="11">
        <f>AVERAGEIF(Sheet2!$Z$2:$Z$151, "Africa",Sheet2!V2:V151)</f>
        <v>0.57200000000000006</v>
      </c>
      <c r="J4" s="11">
        <f>AVERAGEIF(Sheet2!$Z$2:$Z$151, "Africa",Sheet2!W2:W151)</f>
        <v>0.56978048780487811</v>
      </c>
      <c r="K4" s="11">
        <f>AVERAGEIF(Sheet2!$Z$2:$Z$151, "Africa",Sheet2!X2:X151)</f>
        <v>0.56763414634146336</v>
      </c>
      <c r="L4" s="11">
        <f>AVERAGEIF(Sheet2!$Z$2:$Z$151, "Africa",Sheet2!Y2:Y151)</f>
        <v>0.57107317073170705</v>
      </c>
    </row>
    <row r="5" spans="2:12" x14ac:dyDescent="0.2">
      <c r="B5" t="s">
        <v>598</v>
      </c>
      <c r="C5" cm="1">
        <f t="array" ref="C5">_xlfn.T.TEST( IF(Sheet2!$Z$2:$Z$151="Africa", Sheet2!P2:P151), IF(Sheet2!$Z$2:$Z$151="Europe", Sheet2!P2:P151), 2, 2)</f>
        <v>1.0819367152243504E-24</v>
      </c>
      <c r="D5" cm="1">
        <f t="array" ref="D5">_xlfn.T.TEST( IF(Sheet2!$Z$2:$Z$151="Africa", Sheet2!Q2:Q151), IF(Sheet2!$Z$2:$Z$151="Europe", Sheet2!Q2:Q151), 2, 2)</f>
        <v>7.4148570608624094E-25</v>
      </c>
      <c r="E5" cm="1">
        <f t="array" ref="E5">_xlfn.T.TEST( IF(Sheet2!$Z$2:$Z$151="Africa", Sheet2!R2:R151), IF(Sheet2!$Z$2:$Z$151="Europe", Sheet2!R2:R151), 2, 2)</f>
        <v>1.007605942176644E-24</v>
      </c>
      <c r="F5" cm="1">
        <f t="array" ref="F5">_xlfn.T.TEST( IF(Sheet2!$Z$2:$Z$151="Africa", Sheet2!S2:S151), IF(Sheet2!$Z$2:$Z$151="Europe", Sheet2!S2:S151), 2, 2)</f>
        <v>6.2387004804600713E-25</v>
      </c>
      <c r="G5" cm="1">
        <f t="array" ref="G5">_xlfn.T.TEST( IF(Sheet2!$Z$2:$Z$151="Africa", Sheet2!T2:T151), IF(Sheet2!$Z$2:$Z$151="Europe", Sheet2!T2:T151), 2, 2)</f>
        <v>9.6704398555981684E-25</v>
      </c>
      <c r="H5" cm="1">
        <f t="array" ref="H5">_xlfn.T.TEST( IF(Sheet2!$Z$2:$Z$151="Africa", Sheet2!U2:U151), IF(Sheet2!$Z$2:$Z$151="Europe", Sheet2!U2:U151), 2, 2)</f>
        <v>8.0272303142623503E-25</v>
      </c>
      <c r="I5" cm="1">
        <f t="array" ref="I5">_xlfn.T.TEST( IF(Sheet2!$Z$2:$Z$151="Africa", Sheet2!V2:V151), IF(Sheet2!$Z$2:$Z$151="Europe", Sheet2!V2:V151), 2, 2)</f>
        <v>7.8521518585179806E-25</v>
      </c>
      <c r="J5" cm="1">
        <f t="array" ref="J5">_xlfn.T.TEST( IF(Sheet2!$Z$2:$Z$151="Africa", Sheet2!W2:W151), IF(Sheet2!$Z$2:$Z$151="Europe", Sheet2!W2:W151), 2, 2)</f>
        <v>7.3281187005591525E-25</v>
      </c>
      <c r="K5" cm="1">
        <f t="array" ref="K5">_xlfn.T.TEST( IF(Sheet2!$Z$2:$Z$151="Africa", Sheet2!X2:X151), IF(Sheet2!$Z$2:$Z$151="Europe", Sheet2!X2:X151), 2, 2)</f>
        <v>5.6640045752613196E-25</v>
      </c>
      <c r="L5" cm="1">
        <f t="array" ref="L5">_xlfn.T.TEST( IF(Sheet2!$Z$2:$Z$151="Africa", Sheet2!Y2:Y151), IF(Sheet2!$Z$2:$Z$151="Europe", Sheet2!Y2:Y151), 2, 2)</f>
        <v>1.5099828899686165E-24</v>
      </c>
    </row>
    <row r="7" spans="2:12" x14ac:dyDescent="0.2">
      <c r="C7">
        <v>2013</v>
      </c>
      <c r="D7">
        <v>2014</v>
      </c>
      <c r="E7">
        <v>2015</v>
      </c>
      <c r="F7">
        <v>2016</v>
      </c>
      <c r="G7">
        <v>2017</v>
      </c>
      <c r="H7">
        <v>2018</v>
      </c>
      <c r="I7">
        <v>2019</v>
      </c>
      <c r="J7">
        <v>2020</v>
      </c>
      <c r="K7">
        <v>2021</v>
      </c>
      <c r="L7">
        <v>2022</v>
      </c>
    </row>
    <row r="8" spans="2:12" x14ac:dyDescent="0.2">
      <c r="B8" t="s">
        <v>504</v>
      </c>
      <c r="C8" s="11">
        <f>AVERAGEIF(Sheet2!$AA$2:$AA$151, "Advanced",Sheet2!P2:P151)</f>
        <v>0.90476666666666661</v>
      </c>
      <c r="D8" s="11">
        <f>AVERAGEIF(Sheet2!$AA$2:$AA$151, "Advanced",Sheet2!Q2:Q151)</f>
        <v>0.90773333333333339</v>
      </c>
      <c r="E8" s="11">
        <f>AVERAGEIF(Sheet2!$AA$2:$AA$151, "Advanced",Sheet2!R2:R151)</f>
        <v>0.90913333333333335</v>
      </c>
      <c r="F8" s="11">
        <f>AVERAGEIF(Sheet2!$AA$2:$AA$151, "Advanced",Sheet2!S2:S151)</f>
        <v>0.91180000000000005</v>
      </c>
      <c r="G8" s="11">
        <f>AVERAGEIF(Sheet2!$AA$2:$AA$151, "Advanced",Sheet2!T2:T151)</f>
        <v>0.91470000000000007</v>
      </c>
      <c r="H8" s="11">
        <f>AVERAGEIF(Sheet2!$AA$2:$AA$151, "Advanced",Sheet2!U2:U151)</f>
        <v>0.91710000000000003</v>
      </c>
      <c r="I8" s="11">
        <f>AVERAGEIF(Sheet2!$AA$2:$AA$151, "Advanced",Sheet2!V2:V151)</f>
        <v>0.92023333333333357</v>
      </c>
      <c r="J8" s="11">
        <f>AVERAGEIF(Sheet2!$AA$2:$AA$151, "Advanced",Sheet2!W2:W151)</f>
        <v>0.91643333333333332</v>
      </c>
      <c r="K8" s="11">
        <f>AVERAGEIF(Sheet2!$AA$2:$AA$151, "Advanced",Sheet2!X2:X151)</f>
        <v>0.9201666666666668</v>
      </c>
      <c r="L8" s="11">
        <f>AVERAGEIF(Sheet2!$AA$2:$AA$151, "Advanced",Sheet2!Y2:Y151)</f>
        <v>0.92476666666666651</v>
      </c>
    </row>
    <row r="9" spans="2:12" x14ac:dyDescent="0.2">
      <c r="B9" t="s">
        <v>513</v>
      </c>
      <c r="C9" s="11">
        <f>AVERAGEIF(Sheet2!$AA$2:$AA$151, "Emerging and Developing",Sheet2!P2:P151)</f>
        <v>0.6644000000000001</v>
      </c>
      <c r="D9" s="11">
        <f>AVERAGEIF(Sheet2!$AA$2:$AA$151, "Emerging and Developing",Sheet2!Q2:Q151)</f>
        <v>0.66894999999999982</v>
      </c>
      <c r="E9" s="11">
        <f>AVERAGEIF(Sheet2!$AA$2:$AA$151, "Emerging and Developing",Sheet2!R2:R151)</f>
        <v>0.67303333333333326</v>
      </c>
      <c r="F9" s="11">
        <f>AVERAGEIF(Sheet2!$AA$2:$AA$151, "Emerging and Developing",Sheet2!S2:S151)</f>
        <v>0.67706666666666693</v>
      </c>
      <c r="G9" s="11">
        <f>AVERAGEIF(Sheet2!$AA$2:$AA$151, "Emerging and Developing",Sheet2!T2:T151)</f>
        <v>0.68089166666666645</v>
      </c>
      <c r="H9" s="11">
        <f>AVERAGEIF(Sheet2!$AA$2:$AA$151, "Emerging and Developing",Sheet2!U2:U151)</f>
        <v>0.68458333333333321</v>
      </c>
      <c r="I9" s="11">
        <f>AVERAGEIF(Sheet2!$AA$2:$AA$151, "Emerging and Developing",Sheet2!V2:V151)</f>
        <v>0.68794999999999995</v>
      </c>
      <c r="J9" s="11">
        <f>AVERAGEIF(Sheet2!$AA$2:$AA$151, "Emerging and Developing",Sheet2!W2:W151)</f>
        <v>0.68331666666666657</v>
      </c>
      <c r="K9" s="11">
        <f>AVERAGEIF(Sheet2!$AA$2:$AA$151, "Emerging and Developing",Sheet2!X2:X151)</f>
        <v>0.68165833333333303</v>
      </c>
      <c r="L9" s="11">
        <f>AVERAGEIF(Sheet2!$AA$2:$AA$151, "Emerging and Developing",Sheet2!Y2:Y151)</f>
        <v>0.68599166666666644</v>
      </c>
    </row>
    <row r="10" spans="2:12" x14ac:dyDescent="0.2">
      <c r="B10" t="s">
        <v>598</v>
      </c>
      <c r="C10" cm="1">
        <f t="array" ref="C10">_xlfn.T.TEST( IF(Sheet2!$AA$2:$AA$151="Advanced", Sheet2!P2:P151), IF(Sheet2!$AA$2:$AA$151="Emerging and Developing", Sheet2!P2:P151), 2, 2)</f>
        <v>1.2855379093698098E-16</v>
      </c>
      <c r="D10" cm="1">
        <f t="array" ref="D10">_xlfn.T.TEST( IF(Sheet2!$AA$2:$AA$151="Advanced", Sheet2!Q2:Q151), IF(Sheet2!$AA$2:$AA$151="Emerging and Developing", Sheet2!Q2:Q151), 2, 2)</f>
        <v>1.3567364062490058E-16</v>
      </c>
      <c r="E10" cm="1">
        <f t="array" ref="E10">_xlfn.T.TEST( IF(Sheet2!$AA$2:$AA$151="Advanced", Sheet2!R2:R151), IF(Sheet2!$AA$2:$AA$151="Emerging and Developing", Sheet2!R2:R151), 2, 2)</f>
        <v>2.0867017349466655E-16</v>
      </c>
      <c r="F10" cm="1">
        <f t="array" ref="F10">_xlfn.T.TEST( IF(Sheet2!$AA$2:$AA$151="Advanced", Sheet2!S2:S151), IF(Sheet2!$AA$2:$AA$151="Emerging and Developing", Sheet2!S2:S151), 2, 2)</f>
        <v>1.9927455349752753E-16</v>
      </c>
      <c r="G10" cm="1">
        <f t="array" ref="G10">_xlfn.T.TEST( IF(Sheet2!$AA$2:$AA$151="Advanced", Sheet2!T2:T151), IF(Sheet2!$AA$2:$AA$151="Emerging and Developing", Sheet2!T2:T151), 2, 2)</f>
        <v>2.6092348824878334E-16</v>
      </c>
      <c r="H10" cm="1">
        <f t="array" ref="H10">_xlfn.T.TEST( IF(Sheet2!$AA$2:$AA$151="Advanced", Sheet2!U2:U151), IF(Sheet2!$AA$2:$AA$151="Emerging and Developing", Sheet2!U2:U151), 2, 2)</f>
        <v>2.8878540114182355E-16</v>
      </c>
      <c r="I10" cm="1">
        <f t="array" ref="I10">_xlfn.T.TEST( IF(Sheet2!$AA$2:$AA$151="Advanced", Sheet2!V2:V151), IF(Sheet2!$AA$2:$AA$151="Emerging and Developing", Sheet2!V2:V151), 2, 2)</f>
        <v>2.4251371658778915E-16</v>
      </c>
      <c r="J10" cm="1">
        <f t="array" ref="J10">_xlfn.T.TEST( IF(Sheet2!$AA$2:$AA$151="Advanced", Sheet2!W2:W151), IF(Sheet2!$AA$2:$AA$151="Emerging and Developing", Sheet2!W2:W151), 2, 2)</f>
        <v>7.9889950635310362E-17</v>
      </c>
      <c r="K10" cm="1">
        <f t="array" ref="K10">_xlfn.T.TEST( IF(Sheet2!$AA$2:$AA$151="Advanced", Sheet2!X2:X151), IF(Sheet2!$AA$2:$AA$151="Emerging and Developing", Sheet2!X2:X151), 2, 2)</f>
        <v>3.0473687506800555E-17</v>
      </c>
      <c r="L10" cm="1">
        <f t="array" ref="L10">_xlfn.T.TEST( IF(Sheet2!$AA$2:$AA$151="Advanced", Sheet2!Y2:Y151), IF(Sheet2!$AA$2:$AA$151="Emerging and Developing", Sheet2!Y2:Y151), 2, 2)</f>
        <v>4.830059775685501E-17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91A9-6E2F-A14C-8AAA-9ED189A75026}">
  <dimension ref="A1:E149"/>
  <sheetViews>
    <sheetView tabSelected="1" workbookViewId="0">
      <selection activeCell="Q17" sqref="Q17"/>
    </sheetView>
  </sheetViews>
  <sheetFormatPr baseColWidth="10" defaultRowHeight="15" x14ac:dyDescent="0.2"/>
  <cols>
    <col min="3" max="3" width="17.33203125" bestFit="1" customWidth="1"/>
    <col min="5" max="5" width="11.6640625" bestFit="1" customWidth="1"/>
  </cols>
  <sheetData>
    <row r="1" spans="1:5" x14ac:dyDescent="0.2">
      <c r="A1" t="s">
        <v>0</v>
      </c>
      <c r="B1" t="s">
        <v>24</v>
      </c>
      <c r="C1" t="s">
        <v>565</v>
      </c>
    </row>
    <row r="2" spans="1:5" x14ac:dyDescent="0.2">
      <c r="A2" t="s">
        <v>187</v>
      </c>
      <c r="B2">
        <f>_xlfn.XLOOKUP(A2,Sheet2!$A$2:$A$151,Sheet2!$Y$2:$Y$151)</f>
        <v>0.65</v>
      </c>
      <c r="C2" s="11">
        <f>_xlfn.XLOOKUP(A2,Sheet2!$A$2:$A$151,Sheet2!$AC$2:$AC$151)</f>
        <v>8.9344945934050131</v>
      </c>
      <c r="E2" t="s">
        <v>566</v>
      </c>
    </row>
    <row r="3" spans="1:5" x14ac:dyDescent="0.2">
      <c r="A3" t="s">
        <v>73</v>
      </c>
      <c r="B3">
        <f>_xlfn.XLOOKUP(A3,Sheet2!$A$2:$A$151,Sheet2!$Y$2:$Y$151)</f>
        <v>0.746</v>
      </c>
      <c r="C3" s="11">
        <f>_xlfn.XLOOKUP(A3,Sheet2!$A$2:$A$151,Sheet2!$AC$2:$AC$151)</f>
        <v>8.6972850893672984</v>
      </c>
      <c r="E3" s="11">
        <f>CORREL(B2:B149, C2:C149)^2</f>
        <v>0.89602343395847317</v>
      </c>
    </row>
    <row r="4" spans="1:5" x14ac:dyDescent="0.2">
      <c r="A4" t="s">
        <v>167</v>
      </c>
      <c r="B4">
        <f>_xlfn.XLOOKUP(A4,Sheet2!$A$2:$A$151,Sheet2!$Y$2:$Y$151)</f>
        <v>0.54700000000000004</v>
      </c>
      <c r="C4" s="11">
        <f>_xlfn.XLOOKUP(A4,Sheet2!$A$2:$A$151,Sheet2!$AC$2:$AC$151)</f>
        <v>6.857758384957017</v>
      </c>
    </row>
    <row r="5" spans="1:5" x14ac:dyDescent="0.2">
      <c r="A5" t="s">
        <v>193</v>
      </c>
      <c r="B5">
        <f>_xlfn.XLOOKUP(A5,Sheet2!$A$2:$A$151,Sheet2!$Y$2:$Y$151)</f>
        <v>0.60199999999999998</v>
      </c>
      <c r="C5" s="11">
        <f>_xlfn.XLOOKUP(A5,Sheet2!$A$2:$A$151,Sheet2!$AC$2:$AC$151)</f>
        <v>7.709708087479834</v>
      </c>
    </row>
    <row r="6" spans="1:5" x14ac:dyDescent="0.2">
      <c r="A6" t="s">
        <v>131</v>
      </c>
      <c r="B6">
        <f>_xlfn.XLOOKUP(A6,Sheet2!$A$2:$A$151,Sheet2!$Y$2:$Y$151)</f>
        <v>0.49199999999999999</v>
      </c>
      <c r="C6" s="11">
        <f>_xlfn.XLOOKUP(A6,Sheet2!$A$2:$A$151,Sheet2!$AC$2:$AC$151)</f>
        <v>6.8896963557899475</v>
      </c>
    </row>
    <row r="7" spans="1:5" x14ac:dyDescent="0.2">
      <c r="A7" t="s">
        <v>137</v>
      </c>
      <c r="B7">
        <f>_xlfn.XLOOKUP(A7,Sheet2!$A$2:$A$151,Sheet2!$Y$2:$Y$151)</f>
        <v>0.39400000000000002</v>
      </c>
      <c r="C7" s="11">
        <f>_xlfn.XLOOKUP(A7,Sheet2!$A$2:$A$151,Sheet2!$AC$2:$AC$151)</f>
        <v>6.8732015850527413</v>
      </c>
    </row>
    <row r="8" spans="1:5" x14ac:dyDescent="0.2">
      <c r="A8" t="s">
        <v>213</v>
      </c>
      <c r="B8">
        <f>_xlfn.XLOOKUP(A8,Sheet2!$A$2:$A$151,Sheet2!$Y$2:$Y$151)</f>
        <v>0.69799999999999995</v>
      </c>
      <c r="C8" s="11">
        <f>_xlfn.XLOOKUP(A8,Sheet2!$A$2:$A$151,Sheet2!$AC$2:$AC$151)</f>
        <v>8.1499303068229754</v>
      </c>
    </row>
    <row r="9" spans="1:5" x14ac:dyDescent="0.2">
      <c r="A9" t="s">
        <v>139</v>
      </c>
      <c r="B9">
        <f>_xlfn.XLOOKUP(A9,Sheet2!$A$2:$A$151,Sheet2!$Y$2:$Y$151)</f>
        <v>0.52100000000000002</v>
      </c>
      <c r="C9" s="11">
        <f>_xlfn.XLOOKUP(A9,Sheet2!$A$2:$A$151,Sheet2!$AC$2:$AC$151)</f>
        <v>6.9374362388106832</v>
      </c>
    </row>
    <row r="10" spans="1:5" x14ac:dyDescent="0.2">
      <c r="A10" t="s">
        <v>163</v>
      </c>
      <c r="B10">
        <f>_xlfn.XLOOKUP(A10,Sheet2!$A$2:$A$151,Sheet2!$Y$2:$Y$151)</f>
        <v>0.51600000000000001</v>
      </c>
      <c r="C10" s="11">
        <f>_xlfn.XLOOKUP(A10,Sheet2!$A$2:$A$151,Sheet2!$AC$2:$AC$151)</f>
        <v>6.9529588666877009</v>
      </c>
    </row>
    <row r="11" spans="1:5" x14ac:dyDescent="0.2">
      <c r="A11" t="s">
        <v>237</v>
      </c>
      <c r="B11">
        <f>_xlfn.XLOOKUP(A11,Sheet2!$A$2:$A$151,Sheet2!$Y$2:$Y$151)</f>
        <v>0.55000000000000004</v>
      </c>
      <c r="C11" s="11">
        <f>_xlfn.XLOOKUP(A11,Sheet2!$A$2:$A$151,Sheet2!$AC$2:$AC$151)</f>
        <v>6.8701233096667389</v>
      </c>
    </row>
    <row r="12" spans="1:5" x14ac:dyDescent="0.2">
      <c r="A12" t="s">
        <v>53</v>
      </c>
      <c r="B12">
        <f>_xlfn.XLOOKUP(A12,Sheet2!$A$2:$A$151,Sheet2!$Y$2:$Y$151)</f>
        <v>0.72799999999999998</v>
      </c>
      <c r="C12" s="11">
        <f>_xlfn.XLOOKUP(A12,Sheet2!$A$2:$A$151,Sheet2!$AC$2:$AC$151)</f>
        <v>8.350738961713196</v>
      </c>
    </row>
    <row r="13" spans="1:5" x14ac:dyDescent="0.2">
      <c r="A13" t="s">
        <v>151</v>
      </c>
      <c r="B13">
        <f>_xlfn.XLOOKUP(A13,Sheet2!$A$2:$A$151,Sheet2!$Y$2:$Y$151)</f>
        <v>0.46100000000000002</v>
      </c>
      <c r="C13" s="11">
        <f>_xlfn.XLOOKUP(A13,Sheet2!$A$2:$A$151,Sheet2!$AC$2:$AC$151)</f>
        <v>6.360009178755484</v>
      </c>
    </row>
    <row r="14" spans="1:5" x14ac:dyDescent="0.2">
      <c r="A14" t="s">
        <v>123</v>
      </c>
      <c r="B14">
        <f>_xlfn.XLOOKUP(A14,Sheet2!$A$2:$A$151,Sheet2!$Y$2:$Y$151)</f>
        <v>0.38700000000000001</v>
      </c>
      <c r="C14" s="11">
        <f>_xlfn.XLOOKUP(A14,Sheet2!$A$2:$A$151,Sheet2!$AC$2:$AC$151)</f>
        <v>6.1470994641956773</v>
      </c>
    </row>
    <row r="15" spans="1:5" x14ac:dyDescent="0.2">
      <c r="A15" t="s">
        <v>205</v>
      </c>
      <c r="B15">
        <f>_xlfn.XLOOKUP(A15,Sheet2!$A$2:$A$151,Sheet2!$Y$2:$Y$151)</f>
        <v>0.60099999999999998</v>
      </c>
      <c r="C15" s="11">
        <f>_xlfn.XLOOKUP(A15,Sheet2!$A$2:$A$151,Sheet2!$AC$2:$AC$151)</f>
        <v>7.6542360438718395</v>
      </c>
    </row>
    <row r="16" spans="1:5" x14ac:dyDescent="0.2">
      <c r="A16" t="s">
        <v>181</v>
      </c>
      <c r="B16">
        <f>_xlfn.XLOOKUP(A16,Sheet2!$A$2:$A$151,Sheet2!$Y$2:$Y$151)</f>
        <v>0.58599999999999997</v>
      </c>
      <c r="C16" s="11">
        <f>_xlfn.XLOOKUP(A16,Sheet2!$A$2:$A$151,Sheet2!$AC$2:$AC$151)</f>
        <v>7.2899378671851123</v>
      </c>
    </row>
    <row r="17" spans="1:3" x14ac:dyDescent="0.2">
      <c r="A17" t="s">
        <v>225</v>
      </c>
      <c r="B17">
        <f>_xlfn.XLOOKUP(A17,Sheet2!$A$2:$A$151,Sheet2!$Y$2:$Y$151)</f>
        <v>0.61299999999999999</v>
      </c>
      <c r="C17" s="11">
        <f>_xlfn.XLOOKUP(A17,Sheet2!$A$2:$A$151,Sheet2!$AC$2:$AC$151)</f>
        <v>7.7789387225663233</v>
      </c>
    </row>
    <row r="18" spans="1:3" x14ac:dyDescent="0.2">
      <c r="A18" t="s">
        <v>133</v>
      </c>
      <c r="B18">
        <f>_xlfn.XLOOKUP(A18,Sheet2!$A$2:$A$151,Sheet2!$Y$2:$Y$151)</f>
        <v>0.495</v>
      </c>
      <c r="C18" s="11">
        <f>_xlfn.XLOOKUP(A18,Sheet2!$A$2:$A$151,Sheet2!$AC$2:$AC$151)</f>
        <v>6.7289214840694056</v>
      </c>
    </row>
    <row r="19" spans="1:3" x14ac:dyDescent="0.2">
      <c r="A19" t="s">
        <v>129</v>
      </c>
      <c r="B19">
        <f>_xlfn.XLOOKUP(A19,Sheet2!$A$2:$A$151,Sheet2!$Y$2:$Y$151)</f>
        <v>0.51500000000000001</v>
      </c>
      <c r="C19" s="11">
        <f>_xlfn.XLOOKUP(A19,Sheet2!$A$2:$A$151,Sheet2!$AC$2:$AC$151)</f>
        <v>8.0498285729164429</v>
      </c>
    </row>
    <row r="20" spans="1:3" x14ac:dyDescent="0.2">
      <c r="A20" t="s">
        <v>27</v>
      </c>
      <c r="B20">
        <f>_xlfn.XLOOKUP(A20,Sheet2!$A$2:$A$151,Sheet2!$Y$2:$Y$151)</f>
        <v>0.745</v>
      </c>
      <c r="C20" s="11">
        <f>_xlfn.XLOOKUP(A20,Sheet2!$A$2:$A$151,Sheet2!$AC$2:$AC$151)</f>
        <v>8.5092221751070092</v>
      </c>
    </row>
    <row r="21" spans="1:3" x14ac:dyDescent="0.2">
      <c r="A21" t="s">
        <v>165</v>
      </c>
      <c r="B21">
        <f>_xlfn.XLOOKUP(A21,Sheet2!$A$2:$A$151,Sheet2!$Y$2:$Y$151)</f>
        <v>0.53200000000000003</v>
      </c>
      <c r="C21" s="11">
        <f>_xlfn.XLOOKUP(A21,Sheet2!$A$2:$A$151,Sheet2!$AC$2:$AC$151)</f>
        <v>7.0963244702669108</v>
      </c>
    </row>
    <row r="22" spans="1:3" x14ac:dyDescent="0.2">
      <c r="A22" t="s">
        <v>183</v>
      </c>
      <c r="B22">
        <f>_xlfn.XLOOKUP(A22,Sheet2!$A$2:$A$151,Sheet2!$Y$2:$Y$151)</f>
        <v>0.59299999999999997</v>
      </c>
      <c r="C22" s="11">
        <f>_xlfn.XLOOKUP(A22,Sheet2!$A$2:$A$151,Sheet2!$AC$2:$AC$151)</f>
        <v>7.8712494082054283</v>
      </c>
    </row>
    <row r="23" spans="1:3" x14ac:dyDescent="0.2">
      <c r="A23" t="s">
        <v>143</v>
      </c>
      <c r="B23">
        <f>_xlfn.XLOOKUP(A23,Sheet2!$A$2:$A$151,Sheet2!$Y$2:$Y$151)</f>
        <v>0.48699999999999999</v>
      </c>
      <c r="C23" s="11">
        <f>_xlfn.XLOOKUP(A23,Sheet2!$A$2:$A$151,Sheet2!$AC$2:$AC$151)</f>
        <v>6.2216125756943947</v>
      </c>
    </row>
    <row r="24" spans="1:3" x14ac:dyDescent="0.2">
      <c r="A24" t="s">
        <v>135</v>
      </c>
      <c r="B24">
        <f>_xlfn.XLOOKUP(A24,Sheet2!$A$2:$A$151,Sheet2!$Y$2:$Y$151)</f>
        <v>0.47099999999999997</v>
      </c>
      <c r="C24" s="11">
        <f>_xlfn.XLOOKUP(A24,Sheet2!$A$2:$A$151,Sheet2!$AC$2:$AC$151)</f>
        <v>7.2560121743633497</v>
      </c>
    </row>
    <row r="25" spans="1:3" x14ac:dyDescent="0.2">
      <c r="A25" t="s">
        <v>179</v>
      </c>
      <c r="B25">
        <f>_xlfn.XLOOKUP(A25,Sheet2!$A$2:$A$151,Sheet2!$Y$2:$Y$151)</f>
        <v>0.58699999999999997</v>
      </c>
      <c r="C25" s="11">
        <f>_xlfn.XLOOKUP(A25,Sheet2!$A$2:$A$151,Sheet2!$AC$2:$AC$151)</f>
        <v>7.3808025653506242</v>
      </c>
    </row>
    <row r="26" spans="1:3" x14ac:dyDescent="0.2">
      <c r="A26" t="s">
        <v>141</v>
      </c>
      <c r="B26">
        <f>_xlfn.XLOOKUP(A26,Sheet2!$A$2:$A$151,Sheet2!$Y$2:$Y$151)</f>
        <v>0.48699999999999999</v>
      </c>
      <c r="C26" s="11">
        <f>_xlfn.XLOOKUP(A26,Sheet2!$A$2:$A$151,Sheet2!$AC$2:$AC$151)</f>
        <v>6.6128702272483437</v>
      </c>
    </row>
    <row r="27" spans="1:3" x14ac:dyDescent="0.2">
      <c r="A27" t="s">
        <v>125</v>
      </c>
      <c r="B27">
        <f>_xlfn.XLOOKUP(A27,Sheet2!$A$2:$A$151,Sheet2!$Y$2:$Y$151)</f>
        <v>0.48099999999999998</v>
      </c>
      <c r="C27" s="11">
        <f>_xlfn.XLOOKUP(A27,Sheet2!$A$2:$A$151,Sheet2!$AC$2:$AC$151)</f>
        <v>6.5334088064281923</v>
      </c>
    </row>
    <row r="28" spans="1:3" x14ac:dyDescent="0.2">
      <c r="A28" t="s">
        <v>117</v>
      </c>
      <c r="B28">
        <f>_xlfn.XLOOKUP(A28,Sheet2!$A$2:$A$151,Sheet2!$Y$2:$Y$151)</f>
        <v>0.504</v>
      </c>
      <c r="C28" s="11">
        <f>_xlfn.XLOOKUP(A28,Sheet2!$A$2:$A$151,Sheet2!$AC$2:$AC$151)</f>
        <v>7.1439549154760176</v>
      </c>
    </row>
    <row r="29" spans="1:3" x14ac:dyDescent="0.2">
      <c r="A29" t="s">
        <v>157</v>
      </c>
      <c r="B29">
        <f>_xlfn.XLOOKUP(A29,Sheet2!$A$2:$A$151,Sheet2!$Y$2:$Y$151)</f>
        <v>0.54800000000000004</v>
      </c>
      <c r="C29" s="11">
        <f>_xlfn.XLOOKUP(A29,Sheet2!$A$2:$A$151,Sheet2!$AC$2:$AC$151)</f>
        <v>6.8829187131309917</v>
      </c>
    </row>
    <row r="30" spans="1:3" x14ac:dyDescent="0.2">
      <c r="A30" t="s">
        <v>119</v>
      </c>
      <c r="B30">
        <f>_xlfn.XLOOKUP(A30,Sheet2!$A$2:$A$151,Sheet2!$Y$2:$Y$151)</f>
        <v>0.438</v>
      </c>
      <c r="C30" s="11">
        <f>_xlfn.XLOOKUP(A30,Sheet2!$A$2:$A$151,Sheet2!$AC$2:$AC$151)</f>
        <v>6.71820466701939</v>
      </c>
    </row>
    <row r="31" spans="1:3" x14ac:dyDescent="0.2">
      <c r="A31" t="s">
        <v>189</v>
      </c>
      <c r="B31">
        <f>_xlfn.XLOOKUP(A31,Sheet2!$A$2:$A$151,Sheet2!$Y$2:$Y$151)</f>
        <v>0.61</v>
      </c>
      <c r="C31" s="11">
        <f>_xlfn.XLOOKUP(A31,Sheet2!$A$2:$A$151,Sheet2!$AC$2:$AC$151)</f>
        <v>8.2672337901000645</v>
      </c>
    </row>
    <row r="32" spans="1:3" x14ac:dyDescent="0.2">
      <c r="A32" t="s">
        <v>191</v>
      </c>
      <c r="B32">
        <f>_xlfn.XLOOKUP(A32,Sheet2!$A$2:$A$151,Sheet2!$Y$2:$Y$151)</f>
        <v>0.69299999999999995</v>
      </c>
      <c r="C32" s="11">
        <f>_xlfn.XLOOKUP(A32,Sheet2!$A$2:$A$151,Sheet2!$AC$2:$AC$151)</f>
        <v>9.0370825047683407</v>
      </c>
    </row>
    <row r="33" spans="1:3" x14ac:dyDescent="0.2">
      <c r="A33" t="s">
        <v>101</v>
      </c>
      <c r="B33">
        <f>_xlfn.XLOOKUP(A33,Sheet2!$A$2:$A$151,Sheet2!$Y$2:$Y$151)</f>
        <v>0.71699999999999997</v>
      </c>
      <c r="C33" s="11">
        <f>_xlfn.XLOOKUP(A33,Sheet2!$A$2:$A$151,Sheet2!$AC$2:$AC$151)</f>
        <v>8.7848126508184716</v>
      </c>
    </row>
    <row r="34" spans="1:3" x14ac:dyDescent="0.2">
      <c r="A34" t="s">
        <v>175</v>
      </c>
      <c r="B34">
        <f>_xlfn.XLOOKUP(A34,Sheet2!$A$2:$A$151,Sheet2!$Y$2:$Y$151)</f>
        <v>0.66100000000000003</v>
      </c>
      <c r="C34" s="11">
        <f>_xlfn.XLOOKUP(A34,Sheet2!$A$2:$A$151,Sheet2!$AC$2:$AC$151)</f>
        <v>8.3717774288787066</v>
      </c>
    </row>
    <row r="35" spans="1:3" x14ac:dyDescent="0.2">
      <c r="A35" t="s">
        <v>37</v>
      </c>
      <c r="B35">
        <f>_xlfn.XLOOKUP(A35,Sheet2!$A$2:$A$151,Sheet2!$Y$2:$Y$151)</f>
        <v>0.70799999999999996</v>
      </c>
      <c r="C35" s="11">
        <f>_xlfn.XLOOKUP(A35,Sheet2!$A$2:$A$151,Sheet2!$AC$2:$AC$151)</f>
        <v>9.0274637483611393</v>
      </c>
    </row>
    <row r="36" spans="1:3" x14ac:dyDescent="0.2">
      <c r="A36" t="s">
        <v>77</v>
      </c>
      <c r="B36">
        <f>_xlfn.XLOOKUP(A36,Sheet2!$A$2:$A$151,Sheet2!$Y$2:$Y$151)</f>
        <v>0.79600000000000004</v>
      </c>
      <c r="C36" s="11">
        <f>_xlfn.XLOOKUP(A36,Sheet2!$A$2:$A$151,Sheet2!$AC$2:$AC$151)</f>
        <v>9.2346916287503102</v>
      </c>
    </row>
    <row r="37" spans="1:3" x14ac:dyDescent="0.2">
      <c r="A37" t="s">
        <v>107</v>
      </c>
      <c r="B37">
        <f>_xlfn.XLOOKUP(A37,Sheet2!$A$2:$A$151,Sheet2!$Y$2:$Y$151)</f>
        <v>0.73199999999999998</v>
      </c>
      <c r="C37" s="11">
        <f>_xlfn.XLOOKUP(A37,Sheet2!$A$2:$A$151,Sheet2!$AC$2:$AC$151)</f>
        <v>8.2180571938264091</v>
      </c>
    </row>
    <row r="38" spans="1:3" x14ac:dyDescent="0.2">
      <c r="A38" t="s">
        <v>241</v>
      </c>
      <c r="B38">
        <f>_xlfn.XLOOKUP(A38,Sheet2!$A$2:$A$151,Sheet2!$Y$2:$Y$151)</f>
        <v>0.56899999999999995</v>
      </c>
      <c r="C38" s="11">
        <f>_xlfn.XLOOKUP(A38,Sheet2!$A$2:$A$151,Sheet2!$AC$2:$AC$151)</f>
        <v>7.2773327955769442</v>
      </c>
    </row>
    <row r="39" spans="1:3" x14ac:dyDescent="0.2">
      <c r="A39" t="s">
        <v>159</v>
      </c>
      <c r="B39">
        <f>_xlfn.XLOOKUP(A39,Sheet2!$A$2:$A$151,Sheet2!$Y$2:$Y$151)</f>
        <v>0.51700000000000002</v>
      </c>
      <c r="C39" s="11">
        <f>_xlfn.XLOOKUP(A39,Sheet2!$A$2:$A$151,Sheet2!$AC$2:$AC$151)</f>
        <v>7.3613932877759476</v>
      </c>
    </row>
    <row r="40" spans="1:3" x14ac:dyDescent="0.2">
      <c r="A40" t="s">
        <v>145</v>
      </c>
      <c r="B40">
        <f>_xlfn.XLOOKUP(A40,Sheet2!$A$2:$A$151,Sheet2!$Y$2:$Y$151)</f>
        <v>0.50800000000000001</v>
      </c>
      <c r="C40" s="11">
        <f>_xlfn.XLOOKUP(A40,Sheet2!$A$2:$A$151,Sheet2!$AC$2:$AC$151)</f>
        <v>6.4040206876474199</v>
      </c>
    </row>
    <row r="41" spans="1:3" x14ac:dyDescent="0.2">
      <c r="A41" t="s">
        <v>127</v>
      </c>
      <c r="B41">
        <f>_xlfn.XLOOKUP(A41,Sheet2!$A$2:$A$151,Sheet2!$Y$2:$Y$151)</f>
        <v>0.53400000000000003</v>
      </c>
      <c r="C41" s="11">
        <f>_xlfn.XLOOKUP(A41,Sheet2!$A$2:$A$151,Sheet2!$AC$2:$AC$151)</f>
        <v>7.7550694020942448</v>
      </c>
    </row>
    <row r="42" spans="1:3" x14ac:dyDescent="0.2">
      <c r="A42" t="s">
        <v>153</v>
      </c>
      <c r="B42">
        <f>_xlfn.XLOOKUP(A42,Sheet2!$A$2:$A$151,Sheet2!$Y$2:$Y$151)</f>
        <v>0.39400000000000002</v>
      </c>
      <c r="C42" s="11">
        <f>_xlfn.XLOOKUP(A42,Sheet2!$A$2:$A$151,Sheet2!$AC$2:$AC$151)</f>
        <v>6.4130410797047963</v>
      </c>
    </row>
    <row r="43" spans="1:3" x14ac:dyDescent="0.2">
      <c r="A43" t="s">
        <v>31</v>
      </c>
      <c r="B43">
        <f>_xlfn.XLOOKUP(A43,Sheet2!$A$2:$A$151,Sheet2!$Y$2:$Y$151)</f>
        <v>0.76</v>
      </c>
      <c r="C43" s="11">
        <f>_xlfn.XLOOKUP(A43,Sheet2!$A$2:$A$151,Sheet2!$AC$2:$AC$151)</f>
        <v>8.9581019166280154</v>
      </c>
    </row>
    <row r="44" spans="1:3" x14ac:dyDescent="0.2">
      <c r="A44" t="s">
        <v>155</v>
      </c>
      <c r="B44">
        <f>_xlfn.XLOOKUP(A44,Sheet2!$A$2:$A$151,Sheet2!$Y$2:$Y$151)</f>
        <v>0.54</v>
      </c>
      <c r="C44" s="11">
        <f>_xlfn.XLOOKUP(A44,Sheet2!$A$2:$A$151,Sheet2!$AC$2:$AC$151)</f>
        <v>7.3384480175087168</v>
      </c>
    </row>
    <row r="45" spans="1:3" x14ac:dyDescent="0.2">
      <c r="A45" t="s">
        <v>111</v>
      </c>
      <c r="B45">
        <f>_xlfn.XLOOKUP(A45,Sheet2!$A$2:$A$151,Sheet2!$Y$2:$Y$151)</f>
        <v>0.72699999999999998</v>
      </c>
      <c r="C45" s="11">
        <f>_xlfn.XLOOKUP(A45,Sheet2!$A$2:$A$151,Sheet2!$AC$2:$AC$151)</f>
        <v>7.8550278350730833</v>
      </c>
    </row>
    <row r="46" spans="1:3" x14ac:dyDescent="0.2">
      <c r="A46" t="s">
        <v>287</v>
      </c>
      <c r="B46">
        <f>_xlfn.XLOOKUP(A46,Sheet2!$A$2:$A$151,Sheet2!$Y$2:$Y$151)</f>
        <v>0.95599999999999996</v>
      </c>
      <c r="C46" s="11">
        <f>_xlfn.XLOOKUP(A46,Sheet2!$A$2:$A$151,Sheet2!$AC$2:$AC$151)</f>
        <v>10.796015045917985</v>
      </c>
    </row>
    <row r="47" spans="1:3" x14ac:dyDescent="0.2">
      <c r="A47" t="s">
        <v>317</v>
      </c>
      <c r="B47">
        <f>_xlfn.XLOOKUP(A47,Sheet2!$A$2:$A$151,Sheet2!$Y$2:$Y$151)</f>
        <v>0.80700000000000005</v>
      </c>
      <c r="C47" s="11">
        <f>_xlfn.XLOOKUP(A47,Sheet2!$A$2:$A$151,Sheet2!$AC$2:$AC$151)</f>
        <v>9.3719971929651855</v>
      </c>
    </row>
    <row r="48" spans="1:3" x14ac:dyDescent="0.2">
      <c r="A48" t="s">
        <v>303</v>
      </c>
      <c r="B48">
        <f>_xlfn.XLOOKUP(A48,Sheet2!$A$2:$A$151,Sheet2!$Y$2:$Y$151)</f>
        <v>0.80200000000000005</v>
      </c>
      <c r="C48" s="11">
        <f>_xlfn.XLOOKUP(A48,Sheet2!$A$2:$A$151,Sheet2!$AC$2:$AC$151)</f>
        <v>9.3285979261419598</v>
      </c>
    </row>
    <row r="49" spans="1:3" x14ac:dyDescent="0.2">
      <c r="A49" t="s">
        <v>93</v>
      </c>
      <c r="B49">
        <f>_xlfn.XLOOKUP(A49,Sheet2!$A$2:$A$151,Sheet2!$Y$2:$Y$151)</f>
        <v>0.71</v>
      </c>
      <c r="C49" s="11">
        <f>_xlfn.XLOOKUP(A49,Sheet2!$A$2:$A$151,Sheet2!$AC$2:$AC$151)</f>
        <v>8.1741588781879333</v>
      </c>
    </row>
    <row r="50" spans="1:3" x14ac:dyDescent="0.2">
      <c r="A50" t="s">
        <v>209</v>
      </c>
      <c r="B50">
        <f>_xlfn.XLOOKUP(A50,Sheet2!$A$2:$A$151,Sheet2!$Y$2:$Y$151)</f>
        <v>0.62</v>
      </c>
      <c r="C50" s="11">
        <f>_xlfn.XLOOKUP(A50,Sheet2!$A$2:$A$151,Sheet2!$AC$2:$AC$151)</f>
        <v>7.6238395809395456</v>
      </c>
    </row>
    <row r="51" spans="1:3" x14ac:dyDescent="0.2">
      <c r="A51" t="s">
        <v>297</v>
      </c>
      <c r="B51">
        <f>_xlfn.XLOOKUP(A51,Sheet2!$A$2:$A$151,Sheet2!$Y$2:$Y$151)</f>
        <v>0.91500000000000004</v>
      </c>
      <c r="C51" s="11">
        <f>_xlfn.XLOOKUP(A51,Sheet2!$A$2:$A$151,Sheet2!$AC$2:$AC$151)</f>
        <v>10.914172073547821</v>
      </c>
    </row>
    <row r="52" spans="1:3" x14ac:dyDescent="0.2">
      <c r="A52" t="s">
        <v>327</v>
      </c>
      <c r="B52">
        <f>_xlfn.XLOOKUP(A52,Sheet2!$A$2:$A$151,Sheet2!$Y$2:$Y$151)</f>
        <v>0.81899999999999995</v>
      </c>
      <c r="C52" s="11">
        <f>_xlfn.XLOOKUP(A52,Sheet2!$A$2:$A$151,Sheet2!$AC$2:$AC$151)</f>
        <v>10.052923545674085</v>
      </c>
    </row>
    <row r="53" spans="1:3" x14ac:dyDescent="0.2">
      <c r="A53" t="s">
        <v>231</v>
      </c>
      <c r="B53">
        <f>_xlfn.XLOOKUP(A53,Sheet2!$A$2:$A$151,Sheet2!$Y$2:$Y$151)</f>
        <v>0.67900000000000005</v>
      </c>
      <c r="C53" s="11">
        <f>_xlfn.XLOOKUP(A53,Sheet2!$A$2:$A$151,Sheet2!$AC$2:$AC$151)</f>
        <v>6.9586189966148044</v>
      </c>
    </row>
    <row r="54" spans="1:3" x14ac:dyDescent="0.2">
      <c r="A54" t="s">
        <v>301</v>
      </c>
      <c r="B54">
        <f>_xlfn.XLOOKUP(A54,Sheet2!$A$2:$A$151,Sheet2!$Y$2:$Y$151)</f>
        <v>0.92</v>
      </c>
      <c r="C54" s="11">
        <f>_xlfn.XLOOKUP(A54,Sheet2!$A$2:$A$151,Sheet2!$AC$2:$AC$151)</f>
        <v>10.436044645128055</v>
      </c>
    </row>
    <row r="55" spans="1:3" x14ac:dyDescent="0.2">
      <c r="A55" t="s">
        <v>219</v>
      </c>
      <c r="B55">
        <f>_xlfn.XLOOKUP(A55,Sheet2!$A$2:$A$151,Sheet2!$Y$2:$Y$151)</f>
        <v>0.60099999999999998</v>
      </c>
      <c r="C55" s="11">
        <f>_xlfn.XLOOKUP(A55,Sheet2!$A$2:$A$151,Sheet2!$AC$2:$AC$151)</f>
        <v>7.2341127187978271</v>
      </c>
    </row>
    <row r="56" spans="1:3" x14ac:dyDescent="0.2">
      <c r="A56" t="s">
        <v>269</v>
      </c>
      <c r="B56">
        <f>_xlfn.XLOOKUP(A56,Sheet2!$A$2:$A$151,Sheet2!$Y$2:$Y$151)</f>
        <v>0.90700000000000003</v>
      </c>
      <c r="C56" s="11">
        <f>_xlfn.XLOOKUP(A56,Sheet2!$A$2:$A$151,Sheet2!$AC$2:$AC$151)</f>
        <v>10.411239748156701</v>
      </c>
    </row>
    <row r="57" spans="1:3" x14ac:dyDescent="0.2">
      <c r="A57" t="s">
        <v>65</v>
      </c>
      <c r="B57">
        <f>_xlfn.XLOOKUP(A57,Sheet2!$A$2:$A$151,Sheet2!$Y$2:$Y$151)</f>
        <v>0.78</v>
      </c>
      <c r="C57" s="11">
        <f>_xlfn.XLOOKUP(A57,Sheet2!$A$2:$A$151,Sheet2!$AC$2:$AC$151)</f>
        <v>8.4598192091666178</v>
      </c>
    </row>
    <row r="58" spans="1:3" x14ac:dyDescent="0.2">
      <c r="A58" t="s">
        <v>307</v>
      </c>
      <c r="B58">
        <f>_xlfn.XLOOKUP(A58,Sheet2!$A$2:$A$151,Sheet2!$Y$2:$Y$151)</f>
        <v>0.84699999999999998</v>
      </c>
      <c r="C58" s="11">
        <f>_xlfn.XLOOKUP(A58,Sheet2!$A$2:$A$151,Sheet2!$AC$2:$AC$151)</f>
        <v>10.596178856700218</v>
      </c>
    </row>
    <row r="59" spans="1:3" x14ac:dyDescent="0.2">
      <c r="A59" t="s">
        <v>253</v>
      </c>
      <c r="B59">
        <f>_xlfn.XLOOKUP(A59,Sheet2!$A$2:$A$151,Sheet2!$Y$2:$Y$151)</f>
        <v>0.88800000000000001</v>
      </c>
      <c r="C59" s="11">
        <f>_xlfn.XLOOKUP(A59,Sheet2!$A$2:$A$151,Sheet2!$AC$2:$AC$151)</f>
        <v>10.324515000156007</v>
      </c>
    </row>
    <row r="60" spans="1:3" x14ac:dyDescent="0.2">
      <c r="A60" t="s">
        <v>229</v>
      </c>
      <c r="B60">
        <f>_xlfn.XLOOKUP(A60,Sheet2!$A$2:$A$151,Sheet2!$Y$2:$Y$151)</f>
        <v>0.55700000000000005</v>
      </c>
      <c r="C60" s="11">
        <f>_xlfn.XLOOKUP(A60,Sheet2!$A$2:$A$151,Sheet2!$AC$2:$AC$151)</f>
        <v>6.9581360821761988</v>
      </c>
    </row>
    <row r="61" spans="1:3" x14ac:dyDescent="0.2">
      <c r="A61" t="s">
        <v>215</v>
      </c>
      <c r="B61">
        <f>_xlfn.XLOOKUP(A61,Sheet2!$A$2:$A$151,Sheet2!$Y$2:$Y$151)</f>
        <v>0.60799999999999998</v>
      </c>
      <c r="C61" s="11">
        <f>_xlfn.XLOOKUP(A61,Sheet2!$A$2:$A$151,Sheet2!$AC$2:$AC$151)</f>
        <v>7.0544928782697491</v>
      </c>
    </row>
    <row r="62" spans="1:3" x14ac:dyDescent="0.2">
      <c r="A62" t="s">
        <v>29</v>
      </c>
      <c r="B62">
        <f>_xlfn.XLOOKUP(A62,Sheet2!$A$2:$A$151,Sheet2!$Y$2:$Y$151)</f>
        <v>0.78600000000000003</v>
      </c>
      <c r="C62" s="11">
        <f>_xlfn.XLOOKUP(A62,Sheet2!$A$2:$A$151,Sheet2!$AC$2:$AC$151)</f>
        <v>8.790569592965797</v>
      </c>
    </row>
    <row r="63" spans="1:3" x14ac:dyDescent="0.2">
      <c r="A63" t="s">
        <v>305</v>
      </c>
      <c r="B63">
        <f>_xlfn.XLOOKUP(A63,Sheet2!$A$2:$A$151,Sheet2!$Y$2:$Y$151)</f>
        <v>0.92900000000000005</v>
      </c>
      <c r="C63" s="11">
        <f>_xlfn.XLOOKUP(A63,Sheet2!$A$2:$A$151,Sheet2!$AC$2:$AC$151)</f>
        <v>10.458016274693851</v>
      </c>
    </row>
    <row r="64" spans="1:3" x14ac:dyDescent="0.2">
      <c r="A64" t="s">
        <v>261</v>
      </c>
      <c r="B64">
        <f>_xlfn.XLOOKUP(A64,Sheet2!$A$2:$A$151,Sheet2!$Y$2:$Y$151)</f>
        <v>0.82299999999999995</v>
      </c>
      <c r="C64" s="11">
        <f>_xlfn.XLOOKUP(A64,Sheet2!$A$2:$A$151,Sheet2!$AC$2:$AC$151)</f>
        <v>10.508702789787989</v>
      </c>
    </row>
    <row r="65" spans="1:3" x14ac:dyDescent="0.2">
      <c r="A65" t="s">
        <v>71</v>
      </c>
      <c r="B65">
        <f>_xlfn.XLOOKUP(A65,Sheet2!$A$2:$A$151,Sheet2!$Y$2:$Y$151)</f>
        <v>0.70099999999999996</v>
      </c>
      <c r="C65" s="11">
        <f>_xlfn.XLOOKUP(A65,Sheet2!$A$2:$A$151,Sheet2!$AC$2:$AC$151)</f>
        <v>7.4614795631843265</v>
      </c>
    </row>
    <row r="66" spans="1:3" x14ac:dyDescent="0.2">
      <c r="A66" t="s">
        <v>171</v>
      </c>
      <c r="B66">
        <f>_xlfn.XLOOKUP(A66,Sheet2!$A$2:$A$151,Sheet2!$Y$2:$Y$151)</f>
        <v>0.67</v>
      </c>
      <c r="C66" s="11">
        <f>_xlfn.XLOOKUP(A66,Sheet2!$A$2:$A$151,Sheet2!$AC$2:$AC$151)</f>
        <v>7.9070943865193017</v>
      </c>
    </row>
    <row r="67" spans="1:3" x14ac:dyDescent="0.2">
      <c r="A67" t="s">
        <v>69</v>
      </c>
      <c r="B67">
        <f>_xlfn.XLOOKUP(A67,Sheet2!$A$2:$A$151,Sheet2!$Y$2:$Y$151)</f>
        <v>0.73599999999999999</v>
      </c>
      <c r="C67" s="11">
        <f>_xlfn.XLOOKUP(A67,Sheet2!$A$2:$A$151,Sheet2!$AC$2:$AC$151)</f>
        <v>8.3738426858433872</v>
      </c>
    </row>
    <row r="68" spans="1:3" x14ac:dyDescent="0.2">
      <c r="A68" t="s">
        <v>115</v>
      </c>
      <c r="B68">
        <f>_xlfn.XLOOKUP(A68,Sheet2!$A$2:$A$151,Sheet2!$Y$2:$Y$151)</f>
        <v>0.46200000000000002</v>
      </c>
      <c r="C68" s="11">
        <f>_xlfn.XLOOKUP(A68,Sheet2!$A$2:$A$151,Sheet2!$AC$2:$AC$151)</f>
        <v>5.8784670353569624</v>
      </c>
    </row>
    <row r="69" spans="1:3" x14ac:dyDescent="0.2">
      <c r="A69" t="s">
        <v>103</v>
      </c>
      <c r="B69">
        <f>_xlfn.XLOOKUP(A69,Sheet2!$A$2:$A$151,Sheet2!$Y$2:$Y$151)</f>
        <v>0.78</v>
      </c>
      <c r="C69" s="11">
        <f>_xlfn.XLOOKUP(A69,Sheet2!$A$2:$A$151,Sheet2!$AC$2:$AC$151)</f>
        <v>8.1145151458385971</v>
      </c>
    </row>
    <row r="70" spans="1:3" x14ac:dyDescent="0.2">
      <c r="A70" t="s">
        <v>281</v>
      </c>
      <c r="B70">
        <f>_xlfn.XLOOKUP(A70,Sheet2!$A$2:$A$151,Sheet2!$Y$2:$Y$151)</f>
        <v>0.81399999999999995</v>
      </c>
      <c r="C70" s="11">
        <f>_xlfn.XLOOKUP(A70,Sheet2!$A$2:$A$151,Sheet2!$AC$2:$AC$151)</f>
        <v>8.8143076289168878</v>
      </c>
    </row>
    <row r="71" spans="1:3" x14ac:dyDescent="0.2">
      <c r="A71" t="s">
        <v>75</v>
      </c>
      <c r="B71">
        <f>_xlfn.XLOOKUP(A71,Sheet2!$A$2:$A$151,Sheet2!$Y$2:$Y$151)</f>
        <v>0.76200000000000001</v>
      </c>
      <c r="C71" s="11">
        <f>_xlfn.XLOOKUP(A71,Sheet2!$A$2:$A$151,Sheet2!$AC$2:$AC$151)</f>
        <v>9.3746692859633196</v>
      </c>
    </row>
    <row r="72" spans="1:3" x14ac:dyDescent="0.2">
      <c r="A72" t="s">
        <v>201</v>
      </c>
      <c r="B72">
        <f>_xlfn.XLOOKUP(A72,Sheet2!$A$2:$A$151,Sheet2!$Y$2:$Y$151)</f>
        <v>0.64400000000000002</v>
      </c>
      <c r="C72" s="11">
        <f>_xlfn.XLOOKUP(A72,Sheet2!$A$2:$A$151,Sheet2!$AC$2:$AC$151)</f>
        <v>7.761084183150774</v>
      </c>
    </row>
    <row r="73" spans="1:3" x14ac:dyDescent="0.2">
      <c r="A73" t="s">
        <v>367</v>
      </c>
      <c r="B73">
        <f>_xlfn.XLOOKUP(A73,Sheet2!$A$2:$A$151,Sheet2!$Y$2:$Y$151)</f>
        <v>0.93700000000000006</v>
      </c>
      <c r="C73" s="11">
        <f>_xlfn.XLOOKUP(A73,Sheet2!$A$2:$A$151,Sheet2!$AC$2:$AC$151)</f>
        <v>10.834859172014049</v>
      </c>
    </row>
    <row r="74" spans="1:3" x14ac:dyDescent="0.2">
      <c r="A74" t="s">
        <v>203</v>
      </c>
      <c r="B74">
        <f>_xlfn.XLOOKUP(A74,Sheet2!$A$2:$A$151,Sheet2!$Y$2:$Y$151)</f>
        <v>0.67300000000000004</v>
      </c>
      <c r="C74" s="11">
        <f>_xlfn.XLOOKUP(A74,Sheet2!$A$2:$A$151,Sheet2!$AC$2:$AC$151)</f>
        <v>8.7827418495468912</v>
      </c>
    </row>
    <row r="75" spans="1:3" x14ac:dyDescent="0.2">
      <c r="A75" t="s">
        <v>177</v>
      </c>
      <c r="B75">
        <f>_xlfn.XLOOKUP(A75,Sheet2!$A$2:$A$151,Sheet2!$Y$2:$Y$151)</f>
        <v>0.6</v>
      </c>
      <c r="C75" s="11">
        <f>_xlfn.XLOOKUP(A75,Sheet2!$A$2:$A$151,Sheet2!$AC$2:$AC$151)</f>
        <v>7.7514884362149825</v>
      </c>
    </row>
    <row r="76" spans="1:3" x14ac:dyDescent="0.2">
      <c r="A76" t="s">
        <v>365</v>
      </c>
      <c r="B76">
        <f>_xlfn.XLOOKUP(A76,Sheet2!$A$2:$A$151,Sheet2!$Y$2:$Y$151)</f>
        <v>0.85499999999999998</v>
      </c>
      <c r="C76" s="11">
        <f>_xlfn.XLOOKUP(A76,Sheet2!$A$2:$A$151,Sheet2!$AC$2:$AC$151)</f>
        <v>9.2963198650900551</v>
      </c>
    </row>
    <row r="77" spans="1:3" x14ac:dyDescent="0.2">
      <c r="A77" t="s">
        <v>349</v>
      </c>
      <c r="B77">
        <f>_xlfn.XLOOKUP(A77,Sheet2!$A$2:$A$151,Sheet2!$Y$2:$Y$151)</f>
        <v>0.94899999999999995</v>
      </c>
      <c r="C77" s="11">
        <f>_xlfn.XLOOKUP(A77,Sheet2!$A$2:$A$151,Sheet2!$AC$2:$AC$151)</f>
        <v>11.410882434811564</v>
      </c>
    </row>
    <row r="78" spans="1:3" x14ac:dyDescent="0.2">
      <c r="A78" t="s">
        <v>335</v>
      </c>
      <c r="B78">
        <f>_xlfn.XLOOKUP(A78,Sheet2!$A$2:$A$151,Sheet2!$Y$2:$Y$151)</f>
        <v>0.875</v>
      </c>
      <c r="C78" s="11">
        <f>_xlfn.XLOOKUP(A78,Sheet2!$A$2:$A$151,Sheet2!$AC$2:$AC$151)</f>
        <v>11.393031729603598</v>
      </c>
    </row>
    <row r="79" spans="1:3" x14ac:dyDescent="0.2">
      <c r="A79" t="s">
        <v>361</v>
      </c>
      <c r="B79">
        <f>_xlfn.XLOOKUP(A79,Sheet2!$A$2:$A$151,Sheet2!$Y$2:$Y$151)</f>
        <v>0.80300000000000005</v>
      </c>
      <c r="C79" s="11">
        <f>_xlfn.XLOOKUP(A79,Sheet2!$A$2:$A$151,Sheet2!$AC$2:$AC$151)</f>
        <v>8.8406312539094962</v>
      </c>
    </row>
    <row r="80" spans="1:3" x14ac:dyDescent="0.2">
      <c r="A80" t="s">
        <v>247</v>
      </c>
      <c r="B80">
        <f>_xlfn.XLOOKUP(A80,Sheet2!$A$2:$A$151,Sheet2!$Y$2:$Y$151)</f>
        <v>0.94599999999999995</v>
      </c>
      <c r="C80" s="11">
        <f>_xlfn.XLOOKUP(A80,Sheet2!$A$2:$A$151,Sheet2!$AC$2:$AC$151)</f>
        <v>11.084747140137008</v>
      </c>
    </row>
    <row r="81" spans="1:3" x14ac:dyDescent="0.2">
      <c r="A81" t="s">
        <v>355</v>
      </c>
      <c r="B81">
        <f>_xlfn.XLOOKUP(A81,Sheet2!$A$2:$A$151,Sheet2!$Y$2:$Y$151)</f>
        <v>0.91100000000000003</v>
      </c>
      <c r="C81" s="11">
        <f>_xlfn.XLOOKUP(A81,Sheet2!$A$2:$A$151,Sheet2!$AC$2:$AC$151)</f>
        <v>10.319546305978465</v>
      </c>
    </row>
    <row r="82" spans="1:3" x14ac:dyDescent="0.2">
      <c r="A82" t="s">
        <v>313</v>
      </c>
      <c r="B82">
        <f>_xlfn.XLOOKUP(A82,Sheet2!$A$2:$A$151,Sheet2!$Y$2:$Y$151)</f>
        <v>0.879</v>
      </c>
      <c r="C82" s="11">
        <f>_xlfn.XLOOKUP(A82,Sheet2!$A$2:$A$151,Sheet2!$AC$2:$AC$151)</f>
        <v>10.130056594153579</v>
      </c>
    </row>
    <row r="83" spans="1:3" x14ac:dyDescent="0.2">
      <c r="A83" t="s">
        <v>299</v>
      </c>
      <c r="B83">
        <f>_xlfn.XLOOKUP(A83,Sheet2!$A$2:$A$151,Sheet2!$Y$2:$Y$151)</f>
        <v>0.90600000000000003</v>
      </c>
      <c r="C83" s="11">
        <f>_xlfn.XLOOKUP(A83,Sheet2!$A$2:$A$151,Sheet2!$AC$2:$AC$151)</f>
        <v>10.48161393457265</v>
      </c>
    </row>
    <row r="84" spans="1:3" x14ac:dyDescent="0.2">
      <c r="A84" t="s">
        <v>293</v>
      </c>
      <c r="B84">
        <f>_xlfn.XLOOKUP(A84,Sheet2!$A$2:$A$151,Sheet2!$Y$2:$Y$151)</f>
        <v>0.95899999999999996</v>
      </c>
      <c r="C84" s="11">
        <f>_xlfn.XLOOKUP(A84,Sheet2!$A$2:$A$151,Sheet2!$AC$2:$AC$151)</f>
        <v>11.243089270026532</v>
      </c>
    </row>
    <row r="85" spans="1:3" x14ac:dyDescent="0.2">
      <c r="A85" t="s">
        <v>321</v>
      </c>
      <c r="B85">
        <f>_xlfn.XLOOKUP(A85,Sheet2!$A$2:$A$151,Sheet2!$Y$2:$Y$151)</f>
        <v>0.94599999999999995</v>
      </c>
      <c r="C85" s="11">
        <f>_xlfn.XLOOKUP(A85,Sheet2!$A$2:$A$151,Sheet2!$AC$2:$AC$151)</f>
        <v>10.987380687334896</v>
      </c>
    </row>
    <row r="86" spans="1:3" x14ac:dyDescent="0.2">
      <c r="A86" t="s">
        <v>279</v>
      </c>
      <c r="B86">
        <f>_xlfn.XLOOKUP(A86,Sheet2!$A$2:$A$151,Sheet2!$Y$2:$Y$151)</f>
        <v>0.91</v>
      </c>
      <c r="C86" s="11">
        <f>_xlfn.XLOOKUP(A86,Sheet2!$A$2:$A$151,Sheet2!$AC$2:$AC$151)</f>
        <v>10.62105022436505</v>
      </c>
    </row>
    <row r="87" spans="1:3" x14ac:dyDescent="0.2">
      <c r="A87" t="s">
        <v>41</v>
      </c>
      <c r="B87">
        <f>_xlfn.XLOOKUP(A87,Sheet2!$A$2:$A$151,Sheet2!$Y$2:$Y$151)</f>
        <v>0.79900000000000004</v>
      </c>
      <c r="C87" s="11">
        <f>_xlfn.XLOOKUP(A87,Sheet2!$A$2:$A$151,Sheet2!$AC$2:$AC$151)</f>
        <v>9.5467551069442074</v>
      </c>
    </row>
    <row r="88" spans="1:3" x14ac:dyDescent="0.2">
      <c r="A88" t="s">
        <v>331</v>
      </c>
      <c r="B88">
        <f>_xlfn.XLOOKUP(A88,Sheet2!$A$2:$A$151,Sheet2!$Y$2:$Y$151)</f>
        <v>0.88100000000000001</v>
      </c>
      <c r="C88" s="11">
        <f>_xlfn.XLOOKUP(A88,Sheet2!$A$2:$A$151,Sheet2!$AC$2:$AC$151)</f>
        <v>9.8464521246625072</v>
      </c>
    </row>
    <row r="89" spans="1:3" x14ac:dyDescent="0.2">
      <c r="A89" t="s">
        <v>325</v>
      </c>
      <c r="B89">
        <f>_xlfn.XLOOKUP(A89,Sheet2!$A$2:$A$151,Sheet2!$Y$2:$Y$151)</f>
        <v>0.96599999999999997</v>
      </c>
      <c r="C89" s="11">
        <f>_xlfn.XLOOKUP(A89,Sheet2!$A$2:$A$151,Sheet2!$AC$2:$AC$151)</f>
        <v>11.601572778918319</v>
      </c>
    </row>
    <row r="90" spans="1:3" x14ac:dyDescent="0.2">
      <c r="A90" t="s">
        <v>351</v>
      </c>
      <c r="B90">
        <f>_xlfn.XLOOKUP(A90,Sheet2!$A$2:$A$151,Sheet2!$Y$2:$Y$151)</f>
        <v>0.85499999999999998</v>
      </c>
      <c r="C90" s="11">
        <f>_xlfn.XLOOKUP(A90,Sheet2!$A$2:$A$151,Sheet2!$AC$2:$AC$151)</f>
        <v>9.9672974207706382</v>
      </c>
    </row>
    <row r="91" spans="1:3" x14ac:dyDescent="0.2">
      <c r="A91" t="s">
        <v>359</v>
      </c>
      <c r="B91">
        <f>_xlfn.XLOOKUP(A91,Sheet2!$A$2:$A$151,Sheet2!$Y$2:$Y$151)</f>
        <v>0.96699999999999997</v>
      </c>
      <c r="C91" s="11">
        <f>_xlfn.XLOOKUP(A91,Sheet2!$A$2:$A$151,Sheet2!$AC$2:$AC$151)</f>
        <v>11.455238201078446</v>
      </c>
    </row>
    <row r="92" spans="1:3" x14ac:dyDescent="0.2">
      <c r="A92" t="s">
        <v>85</v>
      </c>
      <c r="B92">
        <f>_xlfn.XLOOKUP(A92,Sheet2!$A$2:$A$151,Sheet2!$Y$2:$Y$151)</f>
        <v>0.76500000000000001</v>
      </c>
      <c r="C92" s="11">
        <f>_xlfn.XLOOKUP(A92,Sheet2!$A$2:$A$151,Sheet2!$AC$2:$AC$151)</f>
        <v>8.9367239172932447</v>
      </c>
    </row>
    <row r="93" spans="1:3" x14ac:dyDescent="0.2">
      <c r="A93" t="s">
        <v>333</v>
      </c>
      <c r="B93">
        <f>_xlfn.XLOOKUP(A93,Sheet2!$A$2:$A$151,Sheet2!$Y$2:$Y$151)</f>
        <v>0.874</v>
      </c>
      <c r="C93" s="11">
        <f>_xlfn.XLOOKUP(A93,Sheet2!$A$2:$A$151,Sheet2!$AC$2:$AC$151)</f>
        <v>10.111335512431898</v>
      </c>
    </row>
    <row r="94" spans="1:3" x14ac:dyDescent="0.2">
      <c r="A94" t="s">
        <v>369</v>
      </c>
      <c r="B94">
        <f>_xlfn.XLOOKUP(A94,Sheet2!$A$2:$A$151,Sheet2!$Y$2:$Y$151)</f>
        <v>0.94</v>
      </c>
      <c r="C94" s="11">
        <f>_xlfn.XLOOKUP(A94,Sheet2!$A$2:$A$151,Sheet2!$AC$2:$AC$151)</f>
        <v>10.759115829878199</v>
      </c>
    </row>
    <row r="95" spans="1:3" x14ac:dyDescent="0.2">
      <c r="A95" t="s">
        <v>285</v>
      </c>
      <c r="B95">
        <f>_xlfn.XLOOKUP(A95,Sheet2!$A$2:$A$151,Sheet2!$Y$2:$Y$151)</f>
        <v>0.89300000000000002</v>
      </c>
      <c r="C95" s="11">
        <f>_xlfn.XLOOKUP(A95,Sheet2!$A$2:$A$151,Sheet2!$AC$2:$AC$151)</f>
        <v>9.9468594596641893</v>
      </c>
    </row>
    <row r="96" spans="1:3" x14ac:dyDescent="0.2">
      <c r="A96" t="s">
        <v>311</v>
      </c>
      <c r="B96">
        <f>_xlfn.XLOOKUP(A96,Sheet2!$A$2:$A$151,Sheet2!$Y$2:$Y$151)</f>
        <v>0.94199999999999995</v>
      </c>
      <c r="C96" s="11">
        <f>_xlfn.XLOOKUP(A96,Sheet2!$A$2:$A$151,Sheet2!$AC$2:$AC$151)</f>
        <v>12.144489768171015</v>
      </c>
    </row>
    <row r="97" spans="1:3" x14ac:dyDescent="0.2">
      <c r="A97" t="s">
        <v>271</v>
      </c>
      <c r="B97">
        <f>_xlfn.XLOOKUP(A97,Sheet2!$A$2:$A$151,Sheet2!$Y$2:$Y$151)</f>
        <v>0.89500000000000002</v>
      </c>
      <c r="C97" s="11">
        <f>_xlfn.XLOOKUP(A97,Sheet2!$A$2:$A$151,Sheet2!$AC$2:$AC$151)</f>
        <v>10.249988748460938</v>
      </c>
    </row>
    <row r="98" spans="1:3" x14ac:dyDescent="0.2">
      <c r="A98" t="s">
        <v>295</v>
      </c>
      <c r="B98">
        <f>_xlfn.XLOOKUP(A98,Sheet2!$A$2:$A$151,Sheet2!$Y$2:$Y$151)</f>
        <v>0.95</v>
      </c>
      <c r="C98" s="11">
        <f>_xlfn.XLOOKUP(A98,Sheet2!$A$2:$A$151,Sheet2!$AC$2:$AC$151)</f>
        <v>11.563530039244521</v>
      </c>
    </row>
    <row r="99" spans="1:3" x14ac:dyDescent="0.2">
      <c r="A99" t="s">
        <v>345</v>
      </c>
      <c r="B99">
        <f>_xlfn.XLOOKUP(A99,Sheet2!$A$2:$A$151,Sheet2!$Y$2:$Y$151)</f>
        <v>0.80500000000000005</v>
      </c>
      <c r="C99" s="11">
        <f>_xlfn.XLOOKUP(A99,Sheet2!$A$2:$A$151,Sheet2!$AC$2:$AC$151)</f>
        <v>9.2128192071241788</v>
      </c>
    </row>
    <row r="100" spans="1:3" x14ac:dyDescent="0.2">
      <c r="A100" t="s">
        <v>357</v>
      </c>
      <c r="B100">
        <f>_xlfn.XLOOKUP(A100,Sheet2!$A$2:$A$151,Sheet2!$Y$2:$Y$151)</f>
        <v>0.95199999999999996</v>
      </c>
      <c r="C100" s="11">
        <f>_xlfn.XLOOKUP(A100,Sheet2!$A$2:$A$151,Sheet2!$AC$2:$AC$151)</f>
        <v>10.91211843440294</v>
      </c>
    </row>
    <row r="101" spans="1:3" x14ac:dyDescent="0.2">
      <c r="A101" t="s">
        <v>273</v>
      </c>
      <c r="B101">
        <f>_xlfn.XLOOKUP(A101,Sheet2!$A$2:$A$151,Sheet2!$Y$2:$Y$151)</f>
        <v>0.95199999999999996</v>
      </c>
      <c r="C101" s="11">
        <f>_xlfn.XLOOKUP(A101,Sheet2!$A$2:$A$151,Sheet2!$AC$2:$AC$151)</f>
        <v>11.124038586960536</v>
      </c>
    </row>
    <row r="102" spans="1:3" x14ac:dyDescent="0.2">
      <c r="A102" t="s">
        <v>81</v>
      </c>
      <c r="B102">
        <f>_xlfn.XLOOKUP(A102,Sheet2!$A$2:$A$151,Sheet2!$Y$2:$Y$151)</f>
        <v>0.76300000000000001</v>
      </c>
      <c r="C102" s="11">
        <f>_xlfn.XLOOKUP(A102,Sheet2!$A$2:$A$151,Sheet2!$AC$2:$AC$151)</f>
        <v>8.6559626727691885</v>
      </c>
    </row>
    <row r="103" spans="1:3" x14ac:dyDescent="0.2">
      <c r="A103" t="s">
        <v>267</v>
      </c>
      <c r="B103">
        <f>_xlfn.XLOOKUP(A103,Sheet2!$A$2:$A$151,Sheet2!$Y$2:$Y$151)</f>
        <v>0.878</v>
      </c>
      <c r="C103" s="11">
        <f>_xlfn.XLOOKUP(A103,Sheet2!$A$2:$A$151,Sheet2!$AC$2:$AC$151)</f>
        <v>9.8236616471926013</v>
      </c>
    </row>
    <row r="104" spans="1:3" x14ac:dyDescent="0.2">
      <c r="A104" t="s">
        <v>341</v>
      </c>
      <c r="B104">
        <f>_xlfn.XLOOKUP(A104,Sheet2!$A$2:$A$151,Sheet2!$Y$2:$Y$151)</f>
        <v>0.86699999999999999</v>
      </c>
      <c r="C104" s="11">
        <f>_xlfn.XLOOKUP(A104,Sheet2!$A$2:$A$151,Sheet2!$AC$2:$AC$151)</f>
        <v>10.900267202670912</v>
      </c>
    </row>
    <row r="105" spans="1:3" x14ac:dyDescent="0.2">
      <c r="A105" t="s">
        <v>109</v>
      </c>
      <c r="B105">
        <f>_xlfn.XLOOKUP(A105,Sheet2!$A$2:$A$151,Sheet2!$Y$2:$Y$151)</f>
        <v>0.73399999999999999</v>
      </c>
      <c r="C105" s="11">
        <f>_xlfn.XLOOKUP(A105,Sheet2!$A$2:$A$151,Sheet2!$AC$2:$AC$151)</f>
        <v>8.3427614440585209</v>
      </c>
    </row>
    <row r="106" spans="1:3" x14ac:dyDescent="0.2">
      <c r="A106" t="s">
        <v>319</v>
      </c>
      <c r="B106">
        <f>_xlfn.XLOOKUP(A106,Sheet2!$A$2:$A$151,Sheet2!$Y$2:$Y$151)</f>
        <v>0.91500000000000004</v>
      </c>
      <c r="C106" s="11">
        <f>_xlfn.XLOOKUP(A106,Sheet2!$A$2:$A$151,Sheet2!$AC$2:$AC$151)</f>
        <v>10.481192649334959</v>
      </c>
    </row>
    <row r="107" spans="1:3" x14ac:dyDescent="0.2">
      <c r="A107" t="s">
        <v>249</v>
      </c>
      <c r="B107">
        <f>_xlfn.XLOOKUP(A107,Sheet2!$A$2:$A$151,Sheet2!$Y$2:$Y$151)</f>
        <v>0.92600000000000005</v>
      </c>
      <c r="C107" s="11">
        <f>_xlfn.XLOOKUP(A107,Sheet2!$A$2:$A$151,Sheet2!$AC$2:$AC$151)</f>
        <v>10.865454510063607</v>
      </c>
    </row>
    <row r="108" spans="1:3" x14ac:dyDescent="0.2">
      <c r="A108" t="s">
        <v>259</v>
      </c>
      <c r="B108">
        <f>_xlfn.XLOOKUP(A108,Sheet2!$A$2:$A$151,Sheet2!$Y$2:$Y$151)</f>
        <v>0.94199999999999995</v>
      </c>
      <c r="C108" s="11">
        <f>_xlfn.XLOOKUP(A108,Sheet2!$A$2:$A$151,Sheet2!$AC$2:$AC$151)</f>
        <v>10.83182047925489</v>
      </c>
    </row>
    <row r="109" spans="1:3" x14ac:dyDescent="0.2">
      <c r="A109" t="s">
        <v>339</v>
      </c>
      <c r="B109">
        <f>_xlfn.XLOOKUP(A109,Sheet2!$A$2:$A$151,Sheet2!$Y$2:$Y$151)</f>
        <v>0.82099999999999995</v>
      </c>
      <c r="C109" s="11">
        <f>_xlfn.XLOOKUP(A109,Sheet2!$A$2:$A$151,Sheet2!$AC$2:$AC$151)</f>
        <v>9.6562827303871419</v>
      </c>
    </row>
    <row r="110" spans="1:3" x14ac:dyDescent="0.2">
      <c r="A110" t="s">
        <v>315</v>
      </c>
      <c r="B110">
        <f>_xlfn.XLOOKUP(A110,Sheet2!$A$2:$A$151,Sheet2!$Y$2:$Y$151)</f>
        <v>0.92700000000000005</v>
      </c>
      <c r="C110" s="11">
        <f>_xlfn.XLOOKUP(A110,Sheet2!$A$2:$A$151,Sheet2!$AC$2:$AC$151)</f>
        <v>11.725773470571477</v>
      </c>
    </row>
    <row r="111" spans="1:3" x14ac:dyDescent="0.2">
      <c r="A111" t="s">
        <v>275</v>
      </c>
      <c r="B111">
        <f>_xlfn.XLOOKUP(A111,Sheet2!$A$2:$A$151,Sheet2!$Y$2:$Y$151)</f>
        <v>0.89900000000000002</v>
      </c>
      <c r="C111" s="11">
        <f>_xlfn.XLOOKUP(A111,Sheet2!$A$2:$A$151,Sheet2!$AC$2:$AC$151)</f>
        <v>10.252043017034934</v>
      </c>
    </row>
    <row r="112" spans="1:3" x14ac:dyDescent="0.2">
      <c r="A112" t="s">
        <v>277</v>
      </c>
      <c r="B112">
        <f>_xlfn.XLOOKUP(A112,Sheet2!$A$2:$A$151,Sheet2!$Y$2:$Y$151)</f>
        <v>0.94199999999999995</v>
      </c>
      <c r="C112" s="11">
        <f>_xlfn.XLOOKUP(A112,Sheet2!$A$2:$A$151,Sheet2!$AC$2:$AC$151)</f>
        <v>10.828550896282051</v>
      </c>
    </row>
    <row r="113" spans="1:3" x14ac:dyDescent="0.2">
      <c r="A113" t="s">
        <v>35</v>
      </c>
      <c r="B113">
        <f>_xlfn.XLOOKUP(A113,Sheet2!$A$2:$A$151,Sheet2!$Y$2:$Y$151)</f>
        <v>0.77900000000000003</v>
      </c>
      <c r="C113" s="11">
        <f>_xlfn.XLOOKUP(A113,Sheet2!$A$2:$A$151,Sheet2!$AC$2:$AC$151)</f>
        <v>8.9431919288545245</v>
      </c>
    </row>
    <row r="114" spans="1:3" x14ac:dyDescent="0.2">
      <c r="A114" t="s">
        <v>283</v>
      </c>
      <c r="B114">
        <f>_xlfn.XLOOKUP(A114,Sheet2!$A$2:$A$151,Sheet2!$Y$2:$Y$151)</f>
        <v>0.95</v>
      </c>
      <c r="C114" s="11">
        <f>_xlfn.XLOOKUP(A114,Sheet2!$A$2:$A$151,Sheet2!$AC$2:$AC$151)</f>
        <v>10.829857676241655</v>
      </c>
    </row>
    <row r="115" spans="1:3" x14ac:dyDescent="0.2">
      <c r="A115" t="s">
        <v>221</v>
      </c>
      <c r="B115">
        <f>_xlfn.XLOOKUP(A115,Sheet2!$A$2:$A$151,Sheet2!$Y$2:$Y$151)</f>
        <v>0.66900000000000004</v>
      </c>
      <c r="C115" s="11">
        <f>_xlfn.XLOOKUP(A115,Sheet2!$A$2:$A$151,Sheet2!$AC$2:$AC$151)</f>
        <v>7.7505676115569075</v>
      </c>
    </row>
    <row r="116" spans="1:3" x14ac:dyDescent="0.2">
      <c r="A116" t="s">
        <v>67</v>
      </c>
      <c r="B116">
        <f>_xlfn.XLOOKUP(A116,Sheet2!$A$2:$A$151,Sheet2!$Y$2:$Y$151)</f>
        <v>0.70599999999999996</v>
      </c>
      <c r="C116" s="11">
        <f>_xlfn.XLOOKUP(A116,Sheet2!$A$2:$A$151,Sheet2!$AC$2:$AC$151)</f>
        <v>8.7988282706011098</v>
      </c>
    </row>
    <row r="117" spans="1:3" x14ac:dyDescent="0.2">
      <c r="A117" t="s">
        <v>195</v>
      </c>
      <c r="B117">
        <f>_xlfn.XLOOKUP(A117,Sheet2!$A$2:$A$151,Sheet2!$Y$2:$Y$151)</f>
        <v>0.629</v>
      </c>
      <c r="C117" s="11">
        <f>_xlfn.XLOOKUP(A117,Sheet2!$A$2:$A$151,Sheet2!$AC$2:$AC$151)</f>
        <v>8.5864769803159486</v>
      </c>
    </row>
    <row r="118" spans="1:3" x14ac:dyDescent="0.2">
      <c r="A118" t="s">
        <v>263</v>
      </c>
      <c r="B118">
        <f>_xlfn.XLOOKUP(A118,Sheet2!$A$2:$A$151,Sheet2!$Y$2:$Y$151)</f>
        <v>0.93500000000000005</v>
      </c>
      <c r="C118" s="11">
        <f>_xlfn.XLOOKUP(A118,Sheet2!$A$2:$A$151,Sheet2!$AC$2:$AC$151)</f>
        <v>10.937682214092023</v>
      </c>
    </row>
    <row r="119" spans="1:3" x14ac:dyDescent="0.2">
      <c r="A119" t="s">
        <v>185</v>
      </c>
      <c r="B119">
        <f>_xlfn.XLOOKUP(A119,Sheet2!$A$2:$A$151,Sheet2!$Y$2:$Y$151)</f>
        <v>0.67400000000000004</v>
      </c>
      <c r="C119" s="11">
        <f>_xlfn.XLOOKUP(A119,Sheet2!$A$2:$A$151,Sheet2!$AC$2:$AC$151)</f>
        <v>8.5320033968953517</v>
      </c>
    </row>
    <row r="120" spans="1:3" x14ac:dyDescent="0.2">
      <c r="A120" t="s">
        <v>95</v>
      </c>
      <c r="B120">
        <f>_xlfn.XLOOKUP(A120,Sheet2!$A$2:$A$151,Sheet2!$Y$2:$Y$151)</f>
        <v>0.72499999999999998</v>
      </c>
      <c r="C120" s="11">
        <f>_xlfn.XLOOKUP(A120,Sheet2!$A$2:$A$151,Sheet2!$AC$2:$AC$151)</f>
        <v>9.4806593978833025</v>
      </c>
    </row>
    <row r="121" spans="1:3" x14ac:dyDescent="0.2">
      <c r="A121" t="s">
        <v>251</v>
      </c>
      <c r="B121">
        <f>_xlfn.XLOOKUP(A121,Sheet2!$A$2:$A$151,Sheet2!$Y$2:$Y$151)</f>
        <v>0.82</v>
      </c>
      <c r="C121" s="11">
        <f>_xlfn.XLOOKUP(A121,Sheet2!$A$2:$A$151,Sheet2!$AC$2:$AC$151)</f>
        <v>10.461878627960107</v>
      </c>
    </row>
    <row r="122" spans="1:3" x14ac:dyDescent="0.2">
      <c r="A122" t="s">
        <v>197</v>
      </c>
      <c r="B122">
        <f>_xlfn.XLOOKUP(A122,Sheet2!$A$2:$A$151,Sheet2!$Y$2:$Y$151)</f>
        <v>0.55200000000000005</v>
      </c>
      <c r="C122" s="11">
        <f>_xlfn.XLOOKUP(A122,Sheet2!$A$2:$A$151,Sheet2!$AC$2:$AC$151)</f>
        <v>7.4734249110833026</v>
      </c>
    </row>
    <row r="123" spans="1:3" x14ac:dyDescent="0.2">
      <c r="A123" t="s">
        <v>97</v>
      </c>
      <c r="B123">
        <f>_xlfn.XLOOKUP(A123,Sheet2!$A$2:$A$151,Sheet2!$Y$2:$Y$151)</f>
        <v>0.77200000000000002</v>
      </c>
      <c r="C123" s="11">
        <f>_xlfn.XLOOKUP(A123,Sheet2!$A$2:$A$151,Sheet2!$AC$2:$AC$151)</f>
        <v>9.1792168903019729</v>
      </c>
    </row>
    <row r="124" spans="1:3" x14ac:dyDescent="0.2">
      <c r="A124" t="s">
        <v>47</v>
      </c>
      <c r="B124">
        <f>_xlfn.XLOOKUP(A124,Sheet2!$A$2:$A$151,Sheet2!$Y$2:$Y$151)</f>
        <v>0.74</v>
      </c>
      <c r="C124" s="11">
        <f>_xlfn.XLOOKUP(A124,Sheet2!$A$2:$A$151,Sheet2!$AC$2:$AC$151)</f>
        <v>9.1403106299103882</v>
      </c>
    </row>
    <row r="125" spans="1:3" x14ac:dyDescent="0.2">
      <c r="A125" t="s">
        <v>255</v>
      </c>
      <c r="B125">
        <f>_xlfn.XLOOKUP(A125,Sheet2!$A$2:$A$151,Sheet2!$Y$2:$Y$151)</f>
        <v>0.80900000000000005</v>
      </c>
      <c r="C125" s="11">
        <f>_xlfn.XLOOKUP(A125,Sheet2!$A$2:$A$151,Sheet2!$AC$2:$AC$151)</f>
        <v>10.101807069324481</v>
      </c>
    </row>
    <row r="126" spans="1:3" x14ac:dyDescent="0.2">
      <c r="A126" t="s">
        <v>33</v>
      </c>
      <c r="B126">
        <f>_xlfn.XLOOKUP(A126,Sheet2!$A$2:$A$151,Sheet2!$Y$2:$Y$151)</f>
        <v>0.7</v>
      </c>
      <c r="C126" s="11">
        <f>_xlfn.XLOOKUP(A126,Sheet2!$A$2:$A$151,Sheet2!$AC$2:$AC$151)</f>
        <v>8.863363574336633</v>
      </c>
    </row>
    <row r="127" spans="1:3" x14ac:dyDescent="0.2">
      <c r="A127" t="s">
        <v>199</v>
      </c>
      <c r="B127">
        <f>_xlfn.XLOOKUP(A127,Sheet2!$A$2:$A$151,Sheet2!$Y$2:$Y$151)</f>
        <v>0.624</v>
      </c>
      <c r="C127" s="11">
        <f>_xlfn.XLOOKUP(A127,Sheet2!$A$2:$A$151,Sheet2!$AC$2:$AC$151)</f>
        <v>8.0074636234282632</v>
      </c>
    </row>
    <row r="128" spans="1:3" x14ac:dyDescent="0.2">
      <c r="A128" t="s">
        <v>371</v>
      </c>
      <c r="B128">
        <f>_xlfn.XLOOKUP(A128,Sheet2!$A$2:$A$151,Sheet2!$Y$2:$Y$151)</f>
        <v>0.92700000000000005</v>
      </c>
      <c r="C128" s="11">
        <f>_xlfn.XLOOKUP(A128,Sheet2!$A$2:$A$151,Sheet2!$AC$2:$AC$151)</f>
        <v>11.247099451256936</v>
      </c>
    </row>
    <row r="129" spans="1:3" x14ac:dyDescent="0.2">
      <c r="A129" t="s">
        <v>363</v>
      </c>
      <c r="B129">
        <f>_xlfn.XLOOKUP(A129,Sheet2!$A$2:$A$151,Sheet2!$Y$2:$Y$151)</f>
        <v>0.81399999999999995</v>
      </c>
      <c r="C129" s="11">
        <f>_xlfn.XLOOKUP(A129,Sheet2!$A$2:$A$151,Sheet2!$AC$2:$AC$151)</f>
        <v>9.9403265952241178</v>
      </c>
    </row>
    <row r="130" spans="1:3" x14ac:dyDescent="0.2">
      <c r="A130" t="s">
        <v>49</v>
      </c>
      <c r="B130">
        <f>_xlfn.XLOOKUP(A130,Sheet2!$A$2:$A$151,Sheet2!$Y$2:$Y$151)</f>
        <v>0.76600000000000001</v>
      </c>
      <c r="C130" s="11">
        <f>_xlfn.XLOOKUP(A130,Sheet2!$A$2:$A$151,Sheet2!$AC$2:$AC$151)</f>
        <v>9.2207109016621676</v>
      </c>
    </row>
    <row r="131" spans="1:3" x14ac:dyDescent="0.2">
      <c r="A131" t="s">
        <v>265</v>
      </c>
      <c r="B131">
        <f>_xlfn.XLOOKUP(A131,Sheet2!$A$2:$A$151,Sheet2!$Y$2:$Y$151)</f>
        <v>0.80600000000000005</v>
      </c>
      <c r="C131" s="11">
        <f>_xlfn.XLOOKUP(A131,Sheet2!$A$2:$A$151,Sheet2!$AC$2:$AC$151)</f>
        <v>9.5197277311074942</v>
      </c>
    </row>
    <row r="132" spans="1:3" x14ac:dyDescent="0.2">
      <c r="A132" t="s">
        <v>87</v>
      </c>
      <c r="B132">
        <f>_xlfn.XLOOKUP(A132,Sheet2!$A$2:$A$151,Sheet2!$Y$2:$Y$151)</f>
        <v>0.79700000000000004</v>
      </c>
      <c r="C132" s="11">
        <f>_xlfn.XLOOKUP(A132,Sheet2!$A$2:$A$151,Sheet2!$AC$2:$AC$151)</f>
        <v>9.5273210404887188</v>
      </c>
    </row>
    <row r="133" spans="1:3" x14ac:dyDescent="0.2">
      <c r="A133" t="s">
        <v>105</v>
      </c>
      <c r="B133">
        <f>_xlfn.XLOOKUP(A133,Sheet2!$A$2:$A$151,Sheet2!$Y$2:$Y$151)</f>
        <v>0.73899999999999999</v>
      </c>
      <c r="C133" s="11">
        <f>_xlfn.XLOOKUP(A133,Sheet2!$A$2:$A$151,Sheet2!$AC$2:$AC$151)</f>
        <v>8.5750883353594602</v>
      </c>
    </row>
    <row r="134" spans="1:3" x14ac:dyDescent="0.2">
      <c r="A134" t="s">
        <v>211</v>
      </c>
      <c r="B134">
        <f>_xlfn.XLOOKUP(A134,Sheet2!$A$2:$A$151,Sheet2!$Y$2:$Y$151)</f>
        <v>0.63400000000000001</v>
      </c>
      <c r="C134" s="11">
        <f>_xlfn.XLOOKUP(A134,Sheet2!$A$2:$A$151,Sheet2!$AC$2:$AC$151)</f>
        <v>8.2188207183805631</v>
      </c>
    </row>
    <row r="135" spans="1:3" x14ac:dyDescent="0.2">
      <c r="A135" t="s">
        <v>55</v>
      </c>
      <c r="B135">
        <f>_xlfn.XLOOKUP(A135,Sheet2!$A$2:$A$151,Sheet2!$Y$2:$Y$151)</f>
        <v>0.72899999999999998</v>
      </c>
      <c r="C135" s="11">
        <f>_xlfn.XLOOKUP(A135,Sheet2!$A$2:$A$151,Sheet2!$AC$2:$AC$151)</f>
        <v>8.5967658046126783</v>
      </c>
    </row>
    <row r="136" spans="1:3" x14ac:dyDescent="0.2">
      <c r="A136" t="s">
        <v>323</v>
      </c>
      <c r="B136">
        <f>_xlfn.XLOOKUP(A136,Sheet2!$A$2:$A$151,Sheet2!$Y$2:$Y$151)</f>
        <v>0.93899999999999995</v>
      </c>
      <c r="C136" s="11">
        <f>_xlfn.XLOOKUP(A136,Sheet2!$A$2:$A$151,Sheet2!$AC$2:$AC$151)</f>
        <v>10.801608387084805</v>
      </c>
    </row>
    <row r="137" spans="1:3" x14ac:dyDescent="0.2">
      <c r="A137" t="s">
        <v>223</v>
      </c>
      <c r="B137">
        <f>_xlfn.XLOOKUP(A137,Sheet2!$A$2:$A$151,Sheet2!$Y$2:$Y$151)</f>
        <v>0.56799999999999995</v>
      </c>
      <c r="C137" s="11">
        <f>_xlfn.XLOOKUP(A137,Sheet2!$A$2:$A$151,Sheet2!$AC$2:$AC$151)</f>
        <v>8.0398957275127696</v>
      </c>
    </row>
    <row r="138" spans="1:3" x14ac:dyDescent="0.2">
      <c r="A138" t="s">
        <v>235</v>
      </c>
      <c r="B138">
        <f>_xlfn.XLOOKUP(A138,Sheet2!$A$2:$A$151,Sheet2!$Y$2:$Y$151)</f>
        <v>0.65300000000000002</v>
      </c>
      <c r="C138" s="11">
        <f>_xlfn.XLOOKUP(A138,Sheet2!$A$2:$A$151,Sheet2!$AC$2:$AC$151)</f>
        <v>8.6846256655579968</v>
      </c>
    </row>
    <row r="139" spans="1:3" x14ac:dyDescent="0.2">
      <c r="A139" t="s">
        <v>99</v>
      </c>
      <c r="B139">
        <f>_xlfn.XLOOKUP(A139,Sheet2!$A$2:$A$151,Sheet2!$Y$2:$Y$151)</f>
        <v>0.70199999999999996</v>
      </c>
      <c r="C139" s="11">
        <f>_xlfn.XLOOKUP(A139,Sheet2!$A$2:$A$151,Sheet2!$AC$2:$AC$151)</f>
        <v>8.3266250480042991</v>
      </c>
    </row>
    <row r="140" spans="1:3" x14ac:dyDescent="0.2">
      <c r="A140" t="s">
        <v>227</v>
      </c>
      <c r="B140">
        <f>_xlfn.XLOOKUP(A140,Sheet2!$A$2:$A$151,Sheet2!$Y$2:$Y$151)</f>
        <v>0.56200000000000006</v>
      </c>
      <c r="C140" s="11">
        <f>_xlfn.XLOOKUP(A140,Sheet2!$A$2:$A$151,Sheet2!$AC$2:$AC$151)</f>
        <v>7.5378460608515425</v>
      </c>
    </row>
    <row r="141" spans="1:3" x14ac:dyDescent="0.2">
      <c r="A141" t="s">
        <v>373</v>
      </c>
      <c r="B141">
        <f>_xlfn.XLOOKUP(A141,Sheet2!$A$2:$A$151,Sheet2!$Y$2:$Y$151)</f>
        <v>0.83</v>
      </c>
      <c r="C141" s="11">
        <f>_xlfn.XLOOKUP(A141,Sheet2!$A$2:$A$151,Sheet2!$AC$2:$AC$151)</f>
        <v>9.9436027981682127</v>
      </c>
    </row>
    <row r="142" spans="1:3" x14ac:dyDescent="0.2">
      <c r="A142" t="s">
        <v>91</v>
      </c>
      <c r="B142">
        <f>_xlfn.XLOOKUP(A142,Sheet2!$A$2:$A$151,Sheet2!$Y$2:$Y$151)</f>
        <v>0.76200000000000001</v>
      </c>
      <c r="C142" s="11">
        <f>_xlfn.XLOOKUP(A142,Sheet2!$A$2:$A$151,Sheet2!$AC$2:$AC$151)</f>
        <v>8.902541349073875</v>
      </c>
    </row>
    <row r="143" spans="1:3" x14ac:dyDescent="0.2">
      <c r="A143" t="s">
        <v>291</v>
      </c>
      <c r="B143">
        <f>_xlfn.XLOOKUP(A143,Sheet2!$A$2:$A$151,Sheet2!$Y$2:$Y$151)</f>
        <v>0.86</v>
      </c>
      <c r="C143" s="11">
        <f>_xlfn.XLOOKUP(A143,Sheet2!$A$2:$A$151,Sheet2!$AC$2:$AC$151)</f>
        <v>9.6424874361953457</v>
      </c>
    </row>
    <row r="144" spans="1:3" x14ac:dyDescent="0.2">
      <c r="A144" t="s">
        <v>239</v>
      </c>
      <c r="B144">
        <f>_xlfn.XLOOKUP(A144,Sheet2!$A$2:$A$151,Sheet2!$Y$2:$Y$151)</f>
        <v>0.69899999999999995</v>
      </c>
      <c r="C144" s="11">
        <f>_xlfn.XLOOKUP(A144,Sheet2!$A$2:$A$151,Sheet2!$AC$2:$AC$151)</f>
        <v>8.0567571092762691</v>
      </c>
    </row>
    <row r="145" spans="1:3" x14ac:dyDescent="0.2">
      <c r="A145" t="s">
        <v>39</v>
      </c>
      <c r="B145">
        <f>_xlfn.XLOOKUP(A145,Sheet2!$A$2:$A$151,Sheet2!$Y$2:$Y$151)</f>
        <v>0.76</v>
      </c>
      <c r="C145" s="11">
        <f>_xlfn.XLOOKUP(A145,Sheet2!$A$2:$A$151,Sheet2!$AC$2:$AC$151)</f>
        <v>9.1357604383122997</v>
      </c>
    </row>
    <row r="146" spans="1:3" x14ac:dyDescent="0.2">
      <c r="A146" t="s">
        <v>89</v>
      </c>
      <c r="B146">
        <f>_xlfn.XLOOKUP(A146,Sheet2!$A$2:$A$151,Sheet2!$Y$2:$Y$151)</f>
        <v>0.73099999999999998</v>
      </c>
      <c r="C146" s="11">
        <f>_xlfn.XLOOKUP(A146,Sheet2!$A$2:$A$151,Sheet2!$AC$2:$AC$151)</f>
        <v>8.7332115708747633</v>
      </c>
    </row>
    <row r="147" spans="1:3" x14ac:dyDescent="0.2">
      <c r="A147" t="s">
        <v>43</v>
      </c>
      <c r="B147">
        <f>_xlfn.XLOOKUP(A147,Sheet2!$A$2:$A$151,Sheet2!$Y$2:$Y$151)</f>
        <v>0.75800000000000001</v>
      </c>
      <c r="C147" s="11">
        <f>_xlfn.XLOOKUP(A147,Sheet2!$A$2:$A$151,Sheet2!$AC$2:$AC$151)</f>
        <v>8.8069398915567039</v>
      </c>
    </row>
    <row r="148" spans="1:3" x14ac:dyDescent="0.2">
      <c r="A148" t="s">
        <v>245</v>
      </c>
      <c r="B148">
        <f>_xlfn.XLOOKUP(A148,Sheet2!$A$2:$A$151,Sheet2!$Y$2:$Y$151)</f>
        <v>0.84899999999999998</v>
      </c>
      <c r="C148" s="11">
        <f>_xlfn.XLOOKUP(A148,Sheet2!$A$2:$A$151,Sheet2!$AC$2:$AC$151)</f>
        <v>9.5441081978301145</v>
      </c>
    </row>
    <row r="149" spans="1:3" x14ac:dyDescent="0.2">
      <c r="A149" t="s">
        <v>59</v>
      </c>
      <c r="B149">
        <f>_xlfn.XLOOKUP(A149,Sheet2!$A$2:$A$151,Sheet2!$Y$2:$Y$151)</f>
        <v>0.74199999999999999</v>
      </c>
      <c r="C149" s="11">
        <f>_xlfn.XLOOKUP(A149,Sheet2!$A$2:$A$151,Sheet2!$AC$2:$AC$151)</f>
        <v>9.793309495583074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7BE846-D494-A542-AFF3-CD6E35E024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DataSheet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>Masaryk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Vlastimil Reichel</dc:creator>
  <cp:lastModifiedBy>Adam Krejčí</cp:lastModifiedBy>
  <dcterms:created xsi:type="dcterms:W3CDTF">2026-04-17T05:35:55Z</dcterms:created>
  <dcterms:modified xsi:type="dcterms:W3CDTF">2026-05-05T14:50:55Z</dcterms:modified>
</cp:coreProperties>
</file>